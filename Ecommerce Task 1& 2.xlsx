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156425920d3f6b/Desktop/Excel/Task of EXCEL/"/>
    </mc:Choice>
  </mc:AlternateContent>
  <xr:revisionPtr revIDLastSave="167" documentId="8_{A1E05952-3D86-4741-BCCB-62CE07713EF8}" xr6:coauthVersionLast="47" xr6:coauthVersionMax="47" xr10:uidLastSave="{9972319F-D120-4B98-BF50-21D0BF22A3DF}"/>
  <bookViews>
    <workbookView xWindow="-108" yWindow="-108" windowWidth="23256" windowHeight="12456" activeTab="2" xr2:uid="{AFB388E6-675B-466C-B4F8-A5AF4ACCB3E0}"/>
  </bookViews>
  <sheets>
    <sheet name="Dataset" sheetId="1" r:id="rId1"/>
    <sheet name="Observations" sheetId="2" r:id="rId2"/>
    <sheet name="Data Formatting" sheetId="3" r:id="rId3"/>
  </sheets>
  <definedNames>
    <definedName name="_xlnm._FilterDatabase" localSheetId="2" hidden="1">'Data Formatting'!$A$1:$M$300</definedName>
    <definedName name="_xlnm._FilterDatabase" localSheetId="0" hidden="1">Dataset!$A$1:$M$1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</calcChain>
</file>

<file path=xl/sharedStrings.xml><?xml version="1.0" encoding="utf-8"?>
<sst xmlns="http://schemas.openxmlformats.org/spreadsheetml/2006/main" count="4208" uniqueCount="649">
  <si>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</si>
  <si>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</si>
  <si>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</si>
  <si>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</si>
  <si>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</si>
  <si>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</si>
  <si>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</si>
  <si>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</si>
  <si>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</si>
  <si>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</si>
  <si>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</si>
  <si>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</si>
  <si>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</si>
  <si>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</si>
  <si>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</si>
  <si>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</si>
  <si>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</si>
  <si>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</si>
  <si>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</si>
  <si>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</si>
  <si>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</si>
  <si>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</si>
  <si>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</si>
  <si>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</si>
  <si>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</si>
  <si>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</si>
  <si>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</si>
  <si>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</si>
  <si>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</si>
  <si>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</si>
  <si>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</si>
  <si>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</si>
  <si>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</si>
  <si>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</si>
  <si>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</si>
  <si>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</si>
  <si>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</si>
  <si>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</si>
  <si>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</si>
  <si>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</si>
  <si>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</si>
  <si>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</si>
  <si>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</si>
  <si>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</si>
  <si>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</si>
  <si>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</si>
  <si>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</si>
  <si>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</si>
  <si>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</si>
  <si>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</si>
  <si>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</si>
  <si>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</si>
  <si>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</si>
  <si>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</si>
  <si>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</si>
  <si>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</si>
  <si>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</si>
  <si>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</si>
  <si>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</si>
  <si>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</si>
  <si>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</si>
  <si>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</si>
  <si>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</si>
  <si>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</si>
  <si>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</si>
  <si>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</si>
  <si>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</si>
  <si>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</si>
  <si>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</si>
  <si>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</si>
  <si>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</si>
  <si>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</si>
  <si>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</si>
  <si>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</si>
  <si>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</si>
  <si>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</si>
  <si>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</si>
  <si>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</si>
  <si>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</si>
  <si>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</si>
  <si>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</si>
  <si>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</si>
  <si>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</si>
  <si>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</si>
  <si>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</si>
  <si>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</si>
  <si>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</si>
  <si>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</si>
  <si>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</si>
  <si>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</si>
  <si>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</si>
  <si>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</si>
  <si>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</si>
  <si>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</si>
  <si>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</si>
  <si>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</si>
  <si>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</si>
  <si>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</si>
  <si>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</si>
  <si>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</si>
  <si>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</si>
  <si>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</si>
  <si>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</si>
  <si>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</si>
  <si>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</si>
  <si>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</si>
  <si>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</si>
  <si>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</si>
  <si>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</si>
  <si>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</si>
  <si>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</si>
  <si>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</si>
  <si>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</si>
  <si>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</si>
  <si>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</si>
  <si>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</si>
  <si>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</si>
  <si>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</si>
  <si>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</si>
  <si>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</si>
  <si>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</si>
  <si>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</si>
  <si>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</si>
  <si>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</si>
  <si>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</si>
  <si>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</si>
  <si>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</si>
  <si>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</si>
  <si>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</si>
  <si>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</si>
  <si>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</si>
  <si>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</si>
  <si>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</si>
  <si>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</si>
  <si>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</si>
  <si>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</si>
  <si>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</si>
  <si>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</si>
  <si>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</si>
  <si>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</si>
  <si>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</si>
  <si>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</si>
  <si>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</si>
  <si>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</si>
  <si>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</si>
  <si>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</si>
  <si>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</si>
  <si>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</si>
  <si>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</si>
  <si>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</si>
  <si>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</si>
  <si>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</si>
  <si>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</si>
  <si>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</si>
  <si>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</si>
  <si>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</si>
  <si>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</si>
  <si>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</si>
  <si>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</si>
  <si>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</si>
  <si>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</si>
  <si>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</si>
  <si>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</si>
  <si>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</si>
  <si>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</si>
  <si>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</si>
  <si>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</si>
  <si>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</si>
  <si>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</si>
  <si>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</si>
  <si>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</si>
  <si>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</si>
  <si>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</si>
  <si>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</si>
  <si>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</si>
  <si>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</si>
  <si>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</si>
  <si>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</si>
  <si>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</si>
  <si>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</si>
  <si>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</si>
  <si>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</si>
  <si>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</si>
  <si>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</si>
  <si>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</si>
  <si>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</si>
  <si>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</si>
  <si>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</si>
  <si>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</si>
  <si>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</si>
  <si>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</si>
  <si>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</si>
  <si>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</si>
  <si>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</si>
  <si>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</si>
  <si>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</si>
  <si>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</si>
  <si>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</si>
  <si>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</si>
  <si>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</si>
  <si>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</si>
  <si>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</si>
  <si>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</si>
  <si>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</si>
  <si>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</si>
  <si>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</si>
  <si>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</si>
  <si>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</si>
  <si>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</si>
  <si>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</si>
  <si>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</si>
  <si>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</si>
  <si>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</si>
  <si>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</si>
  <si>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</si>
  <si>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</si>
  <si>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</si>
  <si>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</si>
  <si>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</si>
  <si>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</si>
  <si>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</si>
  <si>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</si>
  <si>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</si>
  <si>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</si>
  <si>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</si>
  <si>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</si>
  <si>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</si>
  <si>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</si>
  <si>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</si>
  <si>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</si>
  <si>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</si>
  <si>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</si>
  <si>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</si>
  <si>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</si>
  <si>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</si>
  <si>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</si>
  <si>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</si>
  <si>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</si>
  <si>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</si>
  <si>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</si>
  <si>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</si>
  <si>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</si>
  <si>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</si>
  <si>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</si>
  <si>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</si>
  <si>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</si>
  <si>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</si>
  <si>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</si>
  <si>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</si>
  <si>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</si>
  <si>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</si>
  <si>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</si>
  <si>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</si>
  <si>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</si>
  <si>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</si>
  <si>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</si>
  <si>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</si>
  <si>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</si>
  <si>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</si>
  <si>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</si>
  <si>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</si>
  <si>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</si>
  <si>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</si>
  <si>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</si>
  <si>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</si>
  <si>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</si>
  <si>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</si>
  <si>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</si>
  <si>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</si>
  <si>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</si>
  <si>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</si>
  <si>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</si>
  <si>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</si>
  <si>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</si>
  <si>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</si>
  <si>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</si>
  <si>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</si>
  <si>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</si>
  <si>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</si>
  <si>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</si>
  <si>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</si>
  <si>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</si>
  <si>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</si>
  <si>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</si>
  <si>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</si>
  <si>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</si>
  <si>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</si>
  <si>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</si>
  <si>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</si>
  <si>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</si>
  <si>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</si>
  <si>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</si>
  <si>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</si>
  <si>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</si>
  <si>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</si>
  <si>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</si>
  <si>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</si>
  <si>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</si>
  <si>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</si>
  <si>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</si>
  <si>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</si>
  <si>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</si>
  <si>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</si>
  <si>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</si>
  <si>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</si>
  <si>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</si>
  <si>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</si>
  <si>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</si>
  <si>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</si>
  <si>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</si>
  <si>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</si>
  <si>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</si>
  <si>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</si>
  <si>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</si>
  <si>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</si>
  <si>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</si>
  <si>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</si>
  <si>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</si>
  <si>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</si>
  <si>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</si>
  <si>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</si>
  <si>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</si>
  <si>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</si>
  <si>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</si>
  <si>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</si>
  <si>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</si>
  <si>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</si>
  <si>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</si>
  <si>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</si>
  <si>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</si>
  <si>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</si>
  <si>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</si>
  <si>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</si>
  <si>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</si>
  <si>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</si>
  <si>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</si>
  <si>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</si>
  <si>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</si>
  <si>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</si>
  <si>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</si>
  <si>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</si>
  <si>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</si>
  <si>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</si>
  <si>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</si>
  <si>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</si>
  <si>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</si>
  <si>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</si>
  <si>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</si>
  <si>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</si>
  <si>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</si>
  <si>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</si>
  <si>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</si>
  <si>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</si>
  <si>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</si>
  <si>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</si>
  <si>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</si>
  <si>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</si>
  <si>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</si>
  <si>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</si>
  <si>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</si>
  <si>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</si>
  <si>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</si>
  <si>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</si>
  <si>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</si>
  <si>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</si>
  <si>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</si>
  <si>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</si>
  <si>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</si>
  <si>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</si>
  <si>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</si>
  <si>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</si>
  <si>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</si>
  <si>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</si>
  <si>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</si>
  <si>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</si>
  <si>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</si>
  <si>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</si>
  <si>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</si>
  <si>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</si>
  <si>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</si>
  <si>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</si>
  <si>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</si>
  <si>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</si>
  <si>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</si>
  <si>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</si>
  <si>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</si>
  <si>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</si>
  <si>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</si>
  <si>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</si>
  <si>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</si>
  <si>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</si>
  <si>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</si>
  <si>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</si>
  <si>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</si>
  <si>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</si>
  <si>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</si>
  <si>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</si>
  <si>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</si>
  <si>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</si>
  <si>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</si>
  <si>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</si>
  <si>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</si>
  <si>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</si>
  <si>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</si>
  <si>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</si>
  <si>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</si>
  <si>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</si>
  <si>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</si>
  <si>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</si>
  <si>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</si>
  <si>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</si>
  <si>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</si>
  <si>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</si>
  <si>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</si>
  <si>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</si>
  <si>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</si>
  <si>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</si>
  <si>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</si>
  <si>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</si>
  <si>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</si>
  <si>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</si>
  <si>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</si>
  <si>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</si>
  <si>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</si>
  <si>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</si>
  <si>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</si>
  <si>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</si>
  <si>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</si>
  <si>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</si>
  <si>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</si>
  <si>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</si>
  <si>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</si>
  <si>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</si>
  <si>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</si>
  <si>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</si>
  <si>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</si>
  <si>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</si>
  <si>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</si>
  <si>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</si>
  <si>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</si>
  <si>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</si>
  <si>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</si>
  <si>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</si>
  <si>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</si>
  <si>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</si>
  <si>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</si>
  <si>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</si>
  <si>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</si>
  <si>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</si>
  <si>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</si>
  <si>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</si>
  <si>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</si>
  <si>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</si>
  <si>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</si>
  <si>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</si>
  <si>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</si>
  <si>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</si>
  <si>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</si>
  <si>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</si>
  <si>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</si>
  <si>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</si>
  <si>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</si>
  <si>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</si>
  <si>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</si>
  <si>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</si>
  <si>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</si>
  <si>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</si>
  <si>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</si>
  <si>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</si>
  <si>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</si>
  <si>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</si>
  <si>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</si>
  <si>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</si>
  <si>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</si>
  <si>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</si>
  <si>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</si>
  <si>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</si>
  <si>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</si>
  <si>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</si>
  <si>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</si>
  <si>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</si>
  <si>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</si>
  <si>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</si>
  <si>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</si>
  <si>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</si>
  <si>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</si>
  <si>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</si>
  <si>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</si>
  <si>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</si>
  <si>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</si>
  <si>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</si>
  <si>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</si>
  <si>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</si>
  <si>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</si>
  <si>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</si>
  <si>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</si>
  <si>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</si>
  <si>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</si>
  <si>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</si>
  <si>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</si>
  <si>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</si>
  <si>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</si>
  <si>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</si>
  <si>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</si>
  <si>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</si>
  <si>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</si>
  <si>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</si>
  <si>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</si>
  <si>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</si>
  <si>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</si>
  <si>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</si>
  <si>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</si>
  <si>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</si>
  <si>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</si>
  <si>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</si>
  <si>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</si>
  <si>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</si>
  <si>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</si>
  <si>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</si>
  <si>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</si>
  <si>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</si>
  <si>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</si>
  <si>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</si>
  <si>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</si>
  <si>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</si>
  <si>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</si>
  <si>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</si>
  <si>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</si>
  <si>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</si>
  <si>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</si>
  <si>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</si>
  <si>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</si>
  <si>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</si>
  <si>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</si>
  <si>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</si>
  <si>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</si>
  <si>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</si>
  <si>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</si>
  <si>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</si>
  <si>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</si>
  <si>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</si>
  <si>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</si>
  <si>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</si>
  <si>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</si>
  <si>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</si>
  <si>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</si>
  <si>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</si>
  <si>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</si>
  <si>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</si>
  <si>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</si>
  <si>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</si>
  <si>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</si>
  <si>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</si>
  <si>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</si>
  <si>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</si>
  <si>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</si>
  <si>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</si>
  <si>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</si>
  <si>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</si>
  <si>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</si>
  <si>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</si>
  <si>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</si>
  <si>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</si>
  <si>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</si>
  <si>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</si>
  <si>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</si>
  <si>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</si>
  <si>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</si>
  <si>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</si>
  <si>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</si>
  <si>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</si>
  <si>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</si>
  <si>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</si>
  <si>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</si>
  <si>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</si>
  <si>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</si>
  <si>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</si>
  <si>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</si>
  <si>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</si>
  <si>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</si>
  <si>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</si>
  <si>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</si>
  <si>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</si>
  <si>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</si>
  <si>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</si>
  <si>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</si>
  <si>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</si>
  <si>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</si>
  <si>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</si>
  <si>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</si>
  <si>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</si>
  <si>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</si>
  <si>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</si>
  <si>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</si>
  <si>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</si>
  <si>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</si>
  <si>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</si>
  <si>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</si>
  <si>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</si>
  <si>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</si>
  <si>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</si>
  <si>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</si>
  <si>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</si>
  <si>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</si>
  <si>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</si>
  <si>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</si>
  <si>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</si>
  <si>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</si>
  <si>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</si>
  <si>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</si>
  <si>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</si>
  <si>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</si>
  <si>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</si>
  <si>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</si>
  <si>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</si>
  <si>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Section</t>
  </si>
  <si>
    <t>Details</t>
  </si>
  <si>
    <t>Rows</t>
  </si>
  <si>
    <t>Columns</t>
  </si>
  <si>
    <t>Data Types</t>
  </si>
  <si>
    <t>Missing values</t>
  </si>
  <si>
    <t>Observations</t>
  </si>
  <si>
    <t>Order Id,Ship date,Customer,Country,Region,Category,Sales,Quantity,Discount,Profit,Order Priority</t>
  </si>
  <si>
    <t>1.Dataset has 272 rows and 13 columns.</t>
  </si>
  <si>
    <t>2.Missing values found in multiple column.</t>
  </si>
  <si>
    <t>3.Useful for sales and profitability analysis.</t>
  </si>
  <si>
    <t>Column Name</t>
  </si>
  <si>
    <t>Example Value</t>
  </si>
  <si>
    <t>Data Type</t>
  </si>
  <si>
    <t>Notes</t>
  </si>
  <si>
    <t>CA-2023-1522</t>
  </si>
  <si>
    <t>Text</t>
  </si>
  <si>
    <t>Contains letters + numbers</t>
  </si>
  <si>
    <t>Date</t>
  </si>
  <si>
    <t>Might need format fix</t>
  </si>
  <si>
    <t>Valid</t>
  </si>
  <si>
    <t>Customer</t>
  </si>
  <si>
    <t>John Smith</t>
  </si>
  <si>
    <t>Categorical</t>
  </si>
  <si>
    <t>—</t>
  </si>
  <si>
    <t>West</t>
  </si>
  <si>
    <t>Chair</t>
  </si>
  <si>
    <t>Number</t>
  </si>
  <si>
    <t>Currency</t>
  </si>
  <si>
    <t>Whole number</t>
  </si>
  <si>
    <t>Can be negative</t>
  </si>
  <si>
    <t>Percentage</t>
  </si>
  <si>
    <t>Order Price</t>
  </si>
  <si>
    <t>ECOMMERCE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</si>
</sst>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 tint="4.9989318521683403E-2"/>
      <name val="Aptos Display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22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2" borderId="0" xfId="0" applyFont="1" applyFill="1"/>
    <xf numFmtId="0" fontId="0" fillId="0" borderId="1" xfId="0" applyBorder="1"/>
    <xf numFmtId="0" fontId="5" fillId="0" borderId="1" xfId="0" applyFont="1" applyBorder="1"/>
    <xf numFmtId="0" fontId="3" fillId="0" borderId="1" xfId="0" applyFont="1" applyBorder="1"/>
    <xf numFmtId="0" fontId="6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DD92-EA48-41B1-8D11-D902A0DE0B7C}">
  <dimension ref="A1:M300"/>
  <sheetViews>
    <sheetView topLeftCell="A274" workbookViewId="0">
      <selection sqref="A1:M300"/>
    </sheetView>
  </sheetViews>
  <sheetFormatPr defaultRowHeight="14.4" x14ac:dyDescent="0.3"/>
  <cols>
    <col min="1" max="1" width="24.5546875" customWidth="1"/>
    <col min="2" max="2" width="20.33203125" customWidth="1"/>
    <col min="3" max="3" width="19.5546875" customWidth="1"/>
    <col min="4" max="4" width="17.88671875" customWidth="1"/>
    <col min="5" max="5" width="16.109375" customWidth="1"/>
    <col min="6" max="6" width="17.77734375" customWidth="1"/>
    <col min="7" max="7" width="15.33203125" customWidth="1"/>
    <col min="8" max="8" width="17.21875" customWidth="1"/>
    <col min="9" max="10" width="12.21875" customWidth="1"/>
    <col min="11" max="13" width="8.8867187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 x14ac:dyDescent="0.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 x14ac:dyDescent="0.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 x14ac:dyDescent="0.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 x14ac:dyDescent="0.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 x14ac:dyDescent="0.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 x14ac:dyDescent="0.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 x14ac:dyDescent="0.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 x14ac:dyDescent="0.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 x14ac:dyDescent="0.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 x14ac:dyDescent="0.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 x14ac:dyDescent="0.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 x14ac:dyDescent="0.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 x14ac:dyDescent="0.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 x14ac:dyDescent="0.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 x14ac:dyDescent="0.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 x14ac:dyDescent="0.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 x14ac:dyDescent="0.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 x14ac:dyDescent="0.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 x14ac:dyDescent="0.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 x14ac:dyDescent="0.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 x14ac:dyDescent="0.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 x14ac:dyDescent="0.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 x14ac:dyDescent="0.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 x14ac:dyDescent="0.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 x14ac:dyDescent="0.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 x14ac:dyDescent="0.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 x14ac:dyDescent="0.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 x14ac:dyDescent="0.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 x14ac:dyDescent="0.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 x14ac:dyDescent="0.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 x14ac:dyDescent="0.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 x14ac:dyDescent="0.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 x14ac:dyDescent="0.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 x14ac:dyDescent="0.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 x14ac:dyDescent="0.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 x14ac:dyDescent="0.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 x14ac:dyDescent="0.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 x14ac:dyDescent="0.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 x14ac:dyDescent="0.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 x14ac:dyDescent="0.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 x14ac:dyDescent="0.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 x14ac:dyDescent="0.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 x14ac:dyDescent="0.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 x14ac:dyDescent="0.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 x14ac:dyDescent="0.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 x14ac:dyDescent="0.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 x14ac:dyDescent="0.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 x14ac:dyDescent="0.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 x14ac:dyDescent="0.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 x14ac:dyDescent="0.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 x14ac:dyDescent="0.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 x14ac:dyDescent="0.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 x14ac:dyDescent="0.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 x14ac:dyDescent="0.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 x14ac:dyDescent="0.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 x14ac:dyDescent="0.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 x14ac:dyDescent="0.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 x14ac:dyDescent="0.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 x14ac:dyDescent="0.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 x14ac:dyDescent="0.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 x14ac:dyDescent="0.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 x14ac:dyDescent="0.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 x14ac:dyDescent="0.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 x14ac:dyDescent="0.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 x14ac:dyDescent="0.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 x14ac:dyDescent="0.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 x14ac:dyDescent="0.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 x14ac:dyDescent="0.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 x14ac:dyDescent="0.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 x14ac:dyDescent="0.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 x14ac:dyDescent="0.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 x14ac:dyDescent="0.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 x14ac:dyDescent="0.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 x14ac:dyDescent="0.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 x14ac:dyDescent="0.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 x14ac:dyDescent="0.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 x14ac:dyDescent="0.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 x14ac:dyDescent="0.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 x14ac:dyDescent="0.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 x14ac:dyDescent="0.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 x14ac:dyDescent="0.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 x14ac:dyDescent="0.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 x14ac:dyDescent="0.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 x14ac:dyDescent="0.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 x14ac:dyDescent="0.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 x14ac:dyDescent="0.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 x14ac:dyDescent="0.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 x14ac:dyDescent="0.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 x14ac:dyDescent="0.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 x14ac:dyDescent="0.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 x14ac:dyDescent="0.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 x14ac:dyDescent="0.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 x14ac:dyDescent="0.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 x14ac:dyDescent="0.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 x14ac:dyDescent="0.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 x14ac:dyDescent="0.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 x14ac:dyDescent="0.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 x14ac:dyDescent="0.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 x14ac:dyDescent="0.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 x14ac:dyDescent="0.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 x14ac:dyDescent="0.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 x14ac:dyDescent="0.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 x14ac:dyDescent="0.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 x14ac:dyDescent="0.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 x14ac:dyDescent="0.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 x14ac:dyDescent="0.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 x14ac:dyDescent="0.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 x14ac:dyDescent="0.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 x14ac:dyDescent="0.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 x14ac:dyDescent="0.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 x14ac:dyDescent="0.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 x14ac:dyDescent="0.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 x14ac:dyDescent="0.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 x14ac:dyDescent="0.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 x14ac:dyDescent="0.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 x14ac:dyDescent="0.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 x14ac:dyDescent="0.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 x14ac:dyDescent="0.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 x14ac:dyDescent="0.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 x14ac:dyDescent="0.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 x14ac:dyDescent="0.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 x14ac:dyDescent="0.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 x14ac:dyDescent="0.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 x14ac:dyDescent="0.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 x14ac:dyDescent="0.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 x14ac:dyDescent="0.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 x14ac:dyDescent="0.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 x14ac:dyDescent="0.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 x14ac:dyDescent="0.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 x14ac:dyDescent="0.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 x14ac:dyDescent="0.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 x14ac:dyDescent="0.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 x14ac:dyDescent="0.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 x14ac:dyDescent="0.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 x14ac:dyDescent="0.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 x14ac:dyDescent="0.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 x14ac:dyDescent="0.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 x14ac:dyDescent="0.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 x14ac:dyDescent="0.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 x14ac:dyDescent="0.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 x14ac:dyDescent="0.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 x14ac:dyDescent="0.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 x14ac:dyDescent="0.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 x14ac:dyDescent="0.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 x14ac:dyDescent="0.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 x14ac:dyDescent="0.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 x14ac:dyDescent="0.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 x14ac:dyDescent="0.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 x14ac:dyDescent="0.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 x14ac:dyDescent="0.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 x14ac:dyDescent="0.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 x14ac:dyDescent="0.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 x14ac:dyDescent="0.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 x14ac:dyDescent="0.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 x14ac:dyDescent="0.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 x14ac:dyDescent="0.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 x14ac:dyDescent="0.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 x14ac:dyDescent="0.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 x14ac:dyDescent="0.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 x14ac:dyDescent="0.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 x14ac:dyDescent="0.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 x14ac:dyDescent="0.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 x14ac:dyDescent="0.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 x14ac:dyDescent="0.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 x14ac:dyDescent="0.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 x14ac:dyDescent="0.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 x14ac:dyDescent="0.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 x14ac:dyDescent="0.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 x14ac:dyDescent="0.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 x14ac:dyDescent="0.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 x14ac:dyDescent="0.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 x14ac:dyDescent="0.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 x14ac:dyDescent="0.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 x14ac:dyDescent="0.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 x14ac:dyDescent="0.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 x14ac:dyDescent="0.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 x14ac:dyDescent="0.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 x14ac:dyDescent="0.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 x14ac:dyDescent="0.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 x14ac:dyDescent="0.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 x14ac:dyDescent="0.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 x14ac:dyDescent="0.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 x14ac:dyDescent="0.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 x14ac:dyDescent="0.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 x14ac:dyDescent="0.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 x14ac:dyDescent="0.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 x14ac:dyDescent="0.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 x14ac:dyDescent="0.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 x14ac:dyDescent="0.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 x14ac:dyDescent="0.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 x14ac:dyDescent="0.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 x14ac:dyDescent="0.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 x14ac:dyDescent="0.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 x14ac:dyDescent="0.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 x14ac:dyDescent="0.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 x14ac:dyDescent="0.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 x14ac:dyDescent="0.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 x14ac:dyDescent="0.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 x14ac:dyDescent="0.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 x14ac:dyDescent="0.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 x14ac:dyDescent="0.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 x14ac:dyDescent="0.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 x14ac:dyDescent="0.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 x14ac:dyDescent="0.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 x14ac:dyDescent="0.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 x14ac:dyDescent="0.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 x14ac:dyDescent="0.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 x14ac:dyDescent="0.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 x14ac:dyDescent="0.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 x14ac:dyDescent="0.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 x14ac:dyDescent="0.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 x14ac:dyDescent="0.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 x14ac:dyDescent="0.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 x14ac:dyDescent="0.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 x14ac:dyDescent="0.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 x14ac:dyDescent="0.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 x14ac:dyDescent="0.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 x14ac:dyDescent="0.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 x14ac:dyDescent="0.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 x14ac:dyDescent="0.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 x14ac:dyDescent="0.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 x14ac:dyDescent="0.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 x14ac:dyDescent="0.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 x14ac:dyDescent="0.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 x14ac:dyDescent="0.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 x14ac:dyDescent="0.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 x14ac:dyDescent="0.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 x14ac:dyDescent="0.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 x14ac:dyDescent="0.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 x14ac:dyDescent="0.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 x14ac:dyDescent="0.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 x14ac:dyDescent="0.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 x14ac:dyDescent="0.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 x14ac:dyDescent="0.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 x14ac:dyDescent="0.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 x14ac:dyDescent="0.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 x14ac:dyDescent="0.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 x14ac:dyDescent="0.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 x14ac:dyDescent="0.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 x14ac:dyDescent="0.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 x14ac:dyDescent="0.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 x14ac:dyDescent="0.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 x14ac:dyDescent="0.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 x14ac:dyDescent="0.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 x14ac:dyDescent="0.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 x14ac:dyDescent="0.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 x14ac:dyDescent="0.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 x14ac:dyDescent="0.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 x14ac:dyDescent="0.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 x14ac:dyDescent="0.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 x14ac:dyDescent="0.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 x14ac:dyDescent="0.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 x14ac:dyDescent="0.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 x14ac:dyDescent="0.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 x14ac:dyDescent="0.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 x14ac:dyDescent="0.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 x14ac:dyDescent="0.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 x14ac:dyDescent="0.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 x14ac:dyDescent="0.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 x14ac:dyDescent="0.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 x14ac:dyDescent="0.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 x14ac:dyDescent="0.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 x14ac:dyDescent="0.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 x14ac:dyDescent="0.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 x14ac:dyDescent="0.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 x14ac:dyDescent="0.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 x14ac:dyDescent="0.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 x14ac:dyDescent="0.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 x14ac:dyDescent="0.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 x14ac:dyDescent="0.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 x14ac:dyDescent="0.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 x14ac:dyDescent="0.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 x14ac:dyDescent="0.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 x14ac:dyDescent="0.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 x14ac:dyDescent="0.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 x14ac:dyDescent="0.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 x14ac:dyDescent="0.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 x14ac:dyDescent="0.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 x14ac:dyDescent="0.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 x14ac:dyDescent="0.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 x14ac:dyDescent="0.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 x14ac:dyDescent="0.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 x14ac:dyDescent="0.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 x14ac:dyDescent="0.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 x14ac:dyDescent="0.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 x14ac:dyDescent="0.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 x14ac:dyDescent="0.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 x14ac:dyDescent="0.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 x14ac:dyDescent="0.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 x14ac:dyDescent="0.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 x14ac:dyDescent="0.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 x14ac:dyDescent="0.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 x14ac:dyDescent="0.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 x14ac:dyDescent="0.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 x14ac:dyDescent="0.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 x14ac:dyDescent="0.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 x14ac:dyDescent="0.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 x14ac:dyDescent="0.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11C1-28F4-4D7D-AD82-7EE894584E87}">
  <dimension ref="A1:D25"/>
  <sheetViews>
    <sheetView zoomScale="145" zoomScaleNormal="145" workbookViewId="0">
      <selection activeCell="A11" sqref="A11"/>
    </sheetView>
  </sheetViews>
  <sheetFormatPr defaultRowHeight="14.4" x14ac:dyDescent="0.3"/>
  <cols>
    <col min="1" max="1" width="17.109375" customWidth="1"/>
    <col min="2" max="2" width="57.109375" customWidth="1"/>
    <col min="4" max="4" width="22.88671875" customWidth="1"/>
  </cols>
  <sheetData>
    <row r="1" spans="1:4" ht="20.399999999999999" x14ac:dyDescent="0.35">
      <c r="A1" s="12" t="s">
        <v>648</v>
      </c>
      <c r="B1" s="12"/>
      <c r="C1" s="12"/>
      <c r="D1" s="12"/>
    </row>
    <row r="2" spans="1:4" ht="17.399999999999999" x14ac:dyDescent="0.3">
      <c r="A2" s="13" t="s">
        <v>615</v>
      </c>
      <c r="B2" s="13" t="s">
        <v>616</v>
      </c>
      <c r="C2" s="9"/>
      <c r="D2" s="9"/>
    </row>
    <row r="3" spans="1:4" ht="15.6" x14ac:dyDescent="0.3">
      <c r="A3" s="10" t="s">
        <v>617</v>
      </c>
      <c r="B3" s="11">
        <f>COUNTA(Dataset!A2:'Dataset'!A300)</f>
        <v>272</v>
      </c>
      <c r="C3" s="11"/>
      <c r="D3" s="11"/>
    </row>
    <row r="4" spans="1:4" ht="15.6" x14ac:dyDescent="0.3">
      <c r="A4" s="10" t="s">
        <v>618</v>
      </c>
      <c r="B4" s="11">
        <f>COUNTA(Dataset!A2:'Dataset'!M2)</f>
        <v>13</v>
      </c>
      <c r="C4" s="11"/>
      <c r="D4" s="11"/>
    </row>
    <row r="5" spans="1:4" ht="15.6" x14ac:dyDescent="0.3">
      <c r="A5" s="10" t="s">
        <v>619</v>
      </c>
      <c r="B5" s="11"/>
      <c r="C5" s="11"/>
      <c r="D5" s="11"/>
    </row>
    <row r="6" spans="1:4" ht="15.6" x14ac:dyDescent="0.3">
      <c r="A6" s="10" t="s">
        <v>620</v>
      </c>
      <c r="B6" s="11" t="s">
        <v>622</v>
      </c>
      <c r="C6" s="11"/>
      <c r="D6" s="11"/>
    </row>
    <row r="7" spans="1:4" ht="15.6" x14ac:dyDescent="0.3">
      <c r="A7" s="10" t="s">
        <v>621</v>
      </c>
      <c r="B7" s="11" t="s">
        <v>623</v>
      </c>
      <c r="C7" s="11"/>
      <c r="D7" s="11"/>
    </row>
    <row r="8" spans="1:4" ht="15.6" x14ac:dyDescent="0.3">
      <c r="A8" s="11"/>
      <c r="B8" s="11" t="s">
        <v>624</v>
      </c>
      <c r="C8" s="11"/>
      <c r="D8" s="11"/>
    </row>
    <row r="9" spans="1:4" ht="15.6" x14ac:dyDescent="0.3">
      <c r="A9" s="11"/>
      <c r="B9" s="11" t="s">
        <v>625</v>
      </c>
      <c r="C9" s="11"/>
      <c r="D9" s="11"/>
    </row>
    <row r="11" spans="1:4" ht="20.399999999999999" x14ac:dyDescent="0.35">
      <c r="A11" s="18" t="s">
        <v>619</v>
      </c>
    </row>
    <row r="12" spans="1:4" ht="36" x14ac:dyDescent="0.3">
      <c r="A12" s="14" t="s">
        <v>626</v>
      </c>
      <c r="B12" s="14" t="s">
        <v>627</v>
      </c>
      <c r="C12" s="14" t="s">
        <v>628</v>
      </c>
      <c r="D12" s="14" t="s">
        <v>629</v>
      </c>
    </row>
    <row r="13" spans="1:4" ht="31.2" customHeight="1" x14ac:dyDescent="0.3">
      <c r="A13" s="15" t="s">
        <v>0</v>
      </c>
      <c r="B13" s="15" t="s">
        <v>630</v>
      </c>
      <c r="C13" s="15" t="s">
        <v>631</v>
      </c>
      <c r="D13" s="15" t="s">
        <v>632</v>
      </c>
    </row>
    <row r="14" spans="1:4" ht="15.6" x14ac:dyDescent="0.3">
      <c r="A14" s="15" t="s">
        <v>1</v>
      </c>
      <c r="B14" s="16">
        <v>44267</v>
      </c>
      <c r="C14" s="15" t="s">
        <v>633</v>
      </c>
      <c r="D14" s="15" t="s">
        <v>634</v>
      </c>
    </row>
    <row r="15" spans="1:4" ht="15.6" x14ac:dyDescent="0.3">
      <c r="A15" s="15" t="s">
        <v>2</v>
      </c>
      <c r="B15" s="16">
        <v>44269</v>
      </c>
      <c r="C15" s="15" t="s">
        <v>633</v>
      </c>
      <c r="D15" s="15" t="s">
        <v>635</v>
      </c>
    </row>
    <row r="16" spans="1:4" ht="15.6" x14ac:dyDescent="0.3">
      <c r="A16" s="15" t="s">
        <v>636</v>
      </c>
      <c r="B16" s="15" t="s">
        <v>637</v>
      </c>
      <c r="C16" s="15" t="s">
        <v>631</v>
      </c>
      <c r="D16" s="15" t="s">
        <v>638</v>
      </c>
    </row>
    <row r="17" spans="1:4" ht="15.6" x14ac:dyDescent="0.3">
      <c r="A17" s="15" t="s">
        <v>4</v>
      </c>
      <c r="B17" s="15" t="s">
        <v>40</v>
      </c>
      <c r="C17" s="15" t="s">
        <v>631</v>
      </c>
      <c r="D17" s="15" t="s">
        <v>639</v>
      </c>
    </row>
    <row r="18" spans="1:4" ht="15.6" x14ac:dyDescent="0.3">
      <c r="A18" s="15" t="s">
        <v>5</v>
      </c>
      <c r="B18" s="15" t="s">
        <v>640</v>
      </c>
      <c r="C18" s="15" t="s">
        <v>631</v>
      </c>
      <c r="D18" s="15" t="s">
        <v>639</v>
      </c>
    </row>
    <row r="19" spans="1:4" ht="15.6" x14ac:dyDescent="0.3">
      <c r="A19" s="15" t="s">
        <v>6</v>
      </c>
      <c r="B19" s="15" t="s">
        <v>32</v>
      </c>
      <c r="C19" s="15" t="s">
        <v>631</v>
      </c>
      <c r="D19" s="15" t="s">
        <v>639</v>
      </c>
    </row>
    <row r="20" spans="1:4" ht="15.6" x14ac:dyDescent="0.3">
      <c r="A20" s="15" t="s">
        <v>7</v>
      </c>
      <c r="B20" s="15" t="s">
        <v>641</v>
      </c>
      <c r="C20" s="15" t="s">
        <v>631</v>
      </c>
      <c r="D20" s="15" t="s">
        <v>639</v>
      </c>
    </row>
    <row r="21" spans="1:4" ht="15.6" x14ac:dyDescent="0.3">
      <c r="A21" s="15" t="s">
        <v>8</v>
      </c>
      <c r="B21" s="17">
        <v>250.75</v>
      </c>
      <c r="C21" s="15" t="s">
        <v>642</v>
      </c>
      <c r="D21" s="15" t="s">
        <v>643</v>
      </c>
    </row>
    <row r="22" spans="1:4" ht="15.6" x14ac:dyDescent="0.3">
      <c r="A22" s="15" t="s">
        <v>9</v>
      </c>
      <c r="B22" s="17">
        <v>3</v>
      </c>
      <c r="C22" s="15" t="s">
        <v>642</v>
      </c>
      <c r="D22" s="15" t="s">
        <v>644</v>
      </c>
    </row>
    <row r="23" spans="1:4" ht="15.6" x14ac:dyDescent="0.3">
      <c r="A23" s="15" t="s">
        <v>11</v>
      </c>
      <c r="B23" s="17">
        <v>45.1</v>
      </c>
      <c r="C23" s="15" t="s">
        <v>642</v>
      </c>
      <c r="D23" s="15" t="s">
        <v>645</v>
      </c>
    </row>
    <row r="24" spans="1:4" ht="15.6" x14ac:dyDescent="0.3">
      <c r="A24" s="15" t="s">
        <v>10</v>
      </c>
      <c r="B24" s="17">
        <v>0.1</v>
      </c>
      <c r="C24" s="15" t="s">
        <v>642</v>
      </c>
      <c r="D24" s="15" t="s">
        <v>646</v>
      </c>
    </row>
    <row r="25" spans="1:4" ht="15.6" x14ac:dyDescent="0.3">
      <c r="A25" s="15" t="s">
        <v>647</v>
      </c>
      <c r="B25" s="17">
        <v>300</v>
      </c>
      <c r="C25" s="15" t="s">
        <v>642</v>
      </c>
      <c r="D25" s="15" t="s">
        <v>639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7FDB-FB69-4821-9C64-0F1FF046EA8C}">
  <sheetPr filterMode="1"/>
  <dimension ref="A1:M300"/>
  <sheetViews>
    <sheetView tabSelected="1" topLeftCell="B1" workbookViewId="0">
      <selection activeCell="K2" sqref="K2"/>
    </sheetView>
  </sheetViews>
  <sheetFormatPr defaultRowHeight="14.4" x14ac:dyDescent="0.3"/>
  <cols>
    <col min="1" max="1" width="32.33203125" customWidth="1"/>
    <col min="2" max="2" width="21" customWidth="1"/>
    <col min="3" max="3" width="18.21875" customWidth="1"/>
    <col min="4" max="4" width="18.77734375" customWidth="1"/>
    <col min="5" max="5" width="14.5546875" customWidth="1"/>
    <col min="6" max="6" width="16.77734375" customWidth="1"/>
    <col min="7" max="7" width="15.88671875" customWidth="1"/>
    <col min="8" max="8" width="16.44140625" customWidth="1"/>
    <col min="9" max="9" width="15.88671875" customWidth="1"/>
    <col min="10" max="10" width="15.109375" customWidth="1"/>
    <col min="11" max="11" width="12.44140625" customWidth="1"/>
    <col min="12" max="12" width="13.88671875" customWidth="1"/>
    <col min="13" max="13" width="18.88671875" customWidth="1"/>
  </cols>
  <sheetData>
    <row r="1" spans="1:13" ht="21" x14ac:dyDescent="0.4">
      <c r="A1" s="4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15.6" x14ac:dyDescent="0.3">
      <c r="A2" s="5" t="s">
        <v>234</v>
      </c>
      <c r="B2" s="6">
        <v>42252</v>
      </c>
      <c r="C2" s="6">
        <v>42253</v>
      </c>
      <c r="D2" s="5" t="s">
        <v>235</v>
      </c>
      <c r="E2" s="5" t="s">
        <v>40</v>
      </c>
      <c r="F2" s="5" t="s">
        <v>43</v>
      </c>
      <c r="G2" s="5" t="s">
        <v>45</v>
      </c>
      <c r="H2" s="5" t="s">
        <v>33</v>
      </c>
      <c r="I2" s="5">
        <v>88.073999999999998</v>
      </c>
      <c r="J2" s="5">
        <v>7</v>
      </c>
      <c r="K2" s="5">
        <v>0.7</v>
      </c>
      <c r="L2" s="5">
        <v>-58.715999999999902</v>
      </c>
      <c r="M2" s="5" t="s">
        <v>37</v>
      </c>
    </row>
    <row r="3" spans="1:13" hidden="1" x14ac:dyDescent="0.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 hidden="1" x14ac:dyDescent="0.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 ht="15.6" x14ac:dyDescent="0.3">
      <c r="A5" s="5" t="s">
        <v>174</v>
      </c>
      <c r="B5" s="6">
        <v>41424</v>
      </c>
      <c r="C5" s="6">
        <v>41425</v>
      </c>
      <c r="D5" s="5" t="s">
        <v>175</v>
      </c>
      <c r="E5" s="5" t="s">
        <v>114</v>
      </c>
      <c r="F5" s="5" t="s">
        <v>115</v>
      </c>
      <c r="G5" s="5" t="s">
        <v>17</v>
      </c>
      <c r="H5" s="5" t="s">
        <v>151</v>
      </c>
      <c r="I5" s="5">
        <v>1526.52</v>
      </c>
      <c r="J5" s="5">
        <v>4</v>
      </c>
      <c r="K5" s="5">
        <v>0</v>
      </c>
      <c r="L5" s="5">
        <v>732.72</v>
      </c>
      <c r="M5" s="5" t="s">
        <v>27</v>
      </c>
    </row>
    <row r="6" spans="1:13" hidden="1" x14ac:dyDescent="0.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 hidden="1" x14ac:dyDescent="0.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 ht="15.6" x14ac:dyDescent="0.3">
      <c r="A8" s="5" t="s">
        <v>38</v>
      </c>
      <c r="B8" s="6">
        <v>41954</v>
      </c>
      <c r="C8" s="6">
        <v>41956</v>
      </c>
      <c r="D8" s="5" t="s">
        <v>39</v>
      </c>
      <c r="E8" s="5" t="s">
        <v>40</v>
      </c>
      <c r="F8" s="5" t="s">
        <v>41</v>
      </c>
      <c r="G8" s="5" t="s">
        <v>32</v>
      </c>
      <c r="H8" s="5" t="s">
        <v>23</v>
      </c>
      <c r="I8" s="5">
        <v>341.96</v>
      </c>
      <c r="J8" s="5">
        <v>2</v>
      </c>
      <c r="K8" s="5">
        <v>0</v>
      </c>
      <c r="L8" s="5">
        <v>54.7135999999999</v>
      </c>
      <c r="M8" s="5" t="s">
        <v>37</v>
      </c>
    </row>
    <row r="9" spans="1:13" hidden="1" x14ac:dyDescent="0.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 hidden="1" x14ac:dyDescent="0.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 hidden="1" x14ac:dyDescent="0.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 hidden="1" x14ac:dyDescent="0.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 ht="15.6" x14ac:dyDescent="0.3">
      <c r="A13" s="5" t="s">
        <v>72</v>
      </c>
      <c r="B13" s="6">
        <v>40958</v>
      </c>
      <c r="C13" s="6">
        <v>40964</v>
      </c>
      <c r="D13" s="5" t="s">
        <v>39</v>
      </c>
      <c r="E13" s="5" t="s">
        <v>40</v>
      </c>
      <c r="F13" s="5" t="s">
        <v>41</v>
      </c>
      <c r="G13" s="5" t="s">
        <v>45</v>
      </c>
      <c r="H13" s="5" t="s">
        <v>73</v>
      </c>
      <c r="I13" s="5">
        <v>12.624000000000001</v>
      </c>
      <c r="J13" s="5">
        <v>2</v>
      </c>
      <c r="K13" s="5">
        <v>0.2</v>
      </c>
      <c r="L13" s="5">
        <v>-2.5247999999999999</v>
      </c>
      <c r="M13" s="5" t="s">
        <v>74</v>
      </c>
    </row>
    <row r="14" spans="1:13" ht="15.6" x14ac:dyDescent="0.3">
      <c r="A14" s="5" t="s">
        <v>42</v>
      </c>
      <c r="B14" s="6">
        <v>40974</v>
      </c>
      <c r="C14" s="6">
        <v>40975</v>
      </c>
      <c r="D14" s="5" t="s">
        <v>39</v>
      </c>
      <c r="E14" s="5" t="s">
        <v>40</v>
      </c>
      <c r="F14" s="5" t="s">
        <v>43</v>
      </c>
      <c r="G14" s="5" t="s">
        <v>45</v>
      </c>
      <c r="H14" s="5" t="s">
        <v>73</v>
      </c>
      <c r="I14" s="5">
        <v>242.94</v>
      </c>
      <c r="J14" s="5">
        <v>3</v>
      </c>
      <c r="K14" s="5">
        <v>0</v>
      </c>
      <c r="L14" s="5">
        <v>4.8588000000000102</v>
      </c>
      <c r="M14" s="5" t="s">
        <v>37</v>
      </c>
    </row>
    <row r="15" spans="1:13" hidden="1" x14ac:dyDescent="0.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 ht="15.6" x14ac:dyDescent="0.3">
      <c r="A16" s="5" t="s">
        <v>109</v>
      </c>
      <c r="B16" s="6">
        <v>41020</v>
      </c>
      <c r="C16" s="6">
        <v>41022</v>
      </c>
      <c r="D16" s="5" t="s">
        <v>110</v>
      </c>
      <c r="E16" s="5" t="s">
        <v>40</v>
      </c>
      <c r="F16" s="5" t="s">
        <v>111</v>
      </c>
      <c r="G16" s="5" t="s">
        <v>45</v>
      </c>
      <c r="H16" s="5" t="s">
        <v>44</v>
      </c>
      <c r="I16" s="5">
        <v>247.84</v>
      </c>
      <c r="J16" s="5">
        <v>8</v>
      </c>
      <c r="K16" s="5">
        <v>0</v>
      </c>
      <c r="L16" s="5">
        <v>121.44159999999999</v>
      </c>
      <c r="M16" s="5" t="s">
        <v>27</v>
      </c>
    </row>
    <row r="17" spans="1:13" hidden="1" x14ac:dyDescent="0.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 hidden="1" x14ac:dyDescent="0.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 ht="15.6" x14ac:dyDescent="0.3">
      <c r="A19" s="5" t="s">
        <v>123</v>
      </c>
      <c r="B19" s="6">
        <v>41635</v>
      </c>
      <c r="C19" s="6">
        <v>41639</v>
      </c>
      <c r="D19" s="5" t="s">
        <v>110</v>
      </c>
      <c r="E19" s="5" t="s">
        <v>40</v>
      </c>
      <c r="F19" s="5" t="s">
        <v>43</v>
      </c>
      <c r="G19" s="5" t="s">
        <v>17</v>
      </c>
      <c r="H19" s="5" t="s">
        <v>26</v>
      </c>
      <c r="I19" s="5">
        <v>668.16</v>
      </c>
      <c r="J19" s="5">
        <v>9</v>
      </c>
      <c r="K19" s="5">
        <v>0.2</v>
      </c>
      <c r="L19" s="5">
        <v>75.167999999999907</v>
      </c>
      <c r="M19" s="5" t="s">
        <v>19</v>
      </c>
    </row>
    <row r="20" spans="1:13" hidden="1" x14ac:dyDescent="0.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 ht="15.6" x14ac:dyDescent="0.3">
      <c r="A21" s="5" t="s">
        <v>128</v>
      </c>
      <c r="B21" s="6">
        <v>41635</v>
      </c>
      <c r="C21" s="6">
        <v>41639</v>
      </c>
      <c r="D21" s="5" t="s">
        <v>110</v>
      </c>
      <c r="E21" s="5" t="s">
        <v>40</v>
      </c>
      <c r="F21" s="5" t="s">
        <v>43</v>
      </c>
      <c r="G21" s="5" t="s">
        <v>45</v>
      </c>
      <c r="H21" s="5" t="s">
        <v>23</v>
      </c>
      <c r="I21" s="5">
        <v>323.10000000000002</v>
      </c>
      <c r="J21" s="5">
        <v>2</v>
      </c>
      <c r="K21" s="5">
        <v>0</v>
      </c>
      <c r="L21" s="5">
        <v>61.389000000000003</v>
      </c>
      <c r="M21" s="5" t="s">
        <v>19</v>
      </c>
    </row>
    <row r="22" spans="1:13" ht="15.6" x14ac:dyDescent="0.3">
      <c r="A22" s="5" t="s">
        <v>129</v>
      </c>
      <c r="B22" s="6">
        <v>41165</v>
      </c>
      <c r="C22" s="6">
        <v>41166</v>
      </c>
      <c r="D22" s="5" t="s">
        <v>110</v>
      </c>
      <c r="E22" s="5" t="s">
        <v>130</v>
      </c>
      <c r="F22" s="5" t="s">
        <v>131</v>
      </c>
      <c r="G22" s="5" t="s">
        <v>132</v>
      </c>
      <c r="H22" s="5" t="s">
        <v>73</v>
      </c>
      <c r="I22" s="5">
        <v>3817.26</v>
      </c>
      <c r="J22" s="5">
        <v>6</v>
      </c>
      <c r="K22" s="5">
        <v>0</v>
      </c>
      <c r="L22" s="5">
        <v>1068.6599999999901</v>
      </c>
      <c r="M22" s="5" t="s">
        <v>37</v>
      </c>
    </row>
    <row r="23" spans="1:13" hidden="1" x14ac:dyDescent="0.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 ht="15.6" x14ac:dyDescent="0.3">
      <c r="A24" s="5" t="s">
        <v>133</v>
      </c>
      <c r="B24" s="6">
        <v>41041</v>
      </c>
      <c r="C24" s="5" t="s">
        <v>134</v>
      </c>
      <c r="D24" s="5" t="s">
        <v>110</v>
      </c>
      <c r="E24" s="5" t="s">
        <v>40</v>
      </c>
      <c r="F24" s="5" t="s">
        <v>43</v>
      </c>
      <c r="G24" s="5" t="s">
        <v>32</v>
      </c>
      <c r="H24" s="5" t="s">
        <v>44</v>
      </c>
      <c r="I24" s="5">
        <v>279.45600000000002</v>
      </c>
      <c r="J24" s="5">
        <v>6</v>
      </c>
      <c r="K24" s="5">
        <v>0.2</v>
      </c>
      <c r="L24" s="5">
        <v>20.9591999999999</v>
      </c>
      <c r="M24" s="5" t="s">
        <v>19</v>
      </c>
    </row>
    <row r="25" spans="1:13" ht="15.6" x14ac:dyDescent="0.3">
      <c r="A25" s="5" t="s">
        <v>186</v>
      </c>
      <c r="B25" s="6">
        <v>42357</v>
      </c>
      <c r="C25" s="6">
        <v>42361</v>
      </c>
      <c r="D25" s="5" t="s">
        <v>110</v>
      </c>
      <c r="E25" s="5" t="s">
        <v>40</v>
      </c>
      <c r="F25" s="5" t="s">
        <v>111</v>
      </c>
      <c r="G25" s="5" t="s">
        <v>45</v>
      </c>
      <c r="H25" s="5" t="s">
        <v>26</v>
      </c>
      <c r="I25" s="5">
        <v>18.704000000000001</v>
      </c>
      <c r="J25" s="5">
        <v>7</v>
      </c>
      <c r="K25" s="5">
        <v>0.2</v>
      </c>
      <c r="L25" s="5">
        <v>2.3379999999999899</v>
      </c>
      <c r="M25" s="5" t="s">
        <v>19</v>
      </c>
    </row>
    <row r="26" spans="1:13" hidden="1" x14ac:dyDescent="0.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 hidden="1" x14ac:dyDescent="0.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 ht="15.6" x14ac:dyDescent="0.3">
      <c r="A28" s="5" t="s">
        <v>244</v>
      </c>
      <c r="B28" s="6">
        <v>42281</v>
      </c>
      <c r="C28" s="6">
        <v>42286</v>
      </c>
      <c r="D28" s="5" t="s">
        <v>194</v>
      </c>
      <c r="E28" s="5" t="s">
        <v>40</v>
      </c>
      <c r="F28" s="5" t="s">
        <v>43</v>
      </c>
      <c r="G28" s="5" t="s">
        <v>32</v>
      </c>
      <c r="H28" s="5" t="s">
        <v>33</v>
      </c>
      <c r="I28" s="5">
        <v>171.28800000000001</v>
      </c>
      <c r="J28" s="5">
        <v>3</v>
      </c>
      <c r="K28" s="5">
        <v>1.4339994914666701</v>
      </c>
      <c r="L28" s="5">
        <v>-6.4233000000000198</v>
      </c>
      <c r="M28" s="5" t="s">
        <v>19</v>
      </c>
    </row>
    <row r="29" spans="1:13" hidden="1" x14ac:dyDescent="0.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 hidden="1" x14ac:dyDescent="0.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 ht="15.6" x14ac:dyDescent="0.3">
      <c r="A31" s="5" t="s">
        <v>273</v>
      </c>
      <c r="B31" s="6">
        <v>41116</v>
      </c>
      <c r="C31" s="6">
        <v>41122</v>
      </c>
      <c r="D31" s="5" t="s">
        <v>194</v>
      </c>
      <c r="E31" s="5" t="s">
        <v>40</v>
      </c>
      <c r="F31" s="5" t="s">
        <v>111</v>
      </c>
      <c r="G31" s="5" t="s">
        <v>45</v>
      </c>
      <c r="H31" s="5" t="s">
        <v>33</v>
      </c>
      <c r="I31" s="5">
        <v>65.78</v>
      </c>
      <c r="J31" s="5">
        <v>11</v>
      </c>
      <c r="K31" s="5">
        <v>0</v>
      </c>
      <c r="L31" s="5">
        <v>32.232199999999999</v>
      </c>
      <c r="M31" s="5" t="s">
        <v>19</v>
      </c>
    </row>
    <row r="32" spans="1:13" ht="15.6" x14ac:dyDescent="0.3">
      <c r="A32" s="5" t="s">
        <v>193</v>
      </c>
      <c r="B32" s="6">
        <v>42007</v>
      </c>
      <c r="C32" s="6">
        <v>42009</v>
      </c>
      <c r="D32" s="5" t="s">
        <v>194</v>
      </c>
      <c r="E32" s="5" t="s">
        <v>40</v>
      </c>
      <c r="F32" s="5" t="s">
        <v>153</v>
      </c>
      <c r="G32" s="5" t="s">
        <v>45</v>
      </c>
      <c r="H32" s="5" t="s">
        <v>127</v>
      </c>
      <c r="I32" s="5">
        <v>15.66</v>
      </c>
      <c r="J32" s="5">
        <v>5</v>
      </c>
      <c r="K32" s="5">
        <v>0.7</v>
      </c>
      <c r="L32" s="5">
        <v>-12.527999999999899</v>
      </c>
      <c r="M32" s="5" t="s">
        <v>37</v>
      </c>
    </row>
    <row r="33" spans="1:13" ht="15.6" x14ac:dyDescent="0.3">
      <c r="A33" s="5" t="s">
        <v>302</v>
      </c>
      <c r="B33" s="6">
        <v>42315</v>
      </c>
      <c r="C33" s="6">
        <v>42322</v>
      </c>
      <c r="D33" s="5" t="s">
        <v>275</v>
      </c>
      <c r="E33" s="5" t="s">
        <v>303</v>
      </c>
      <c r="F33" s="5" t="s">
        <v>43</v>
      </c>
      <c r="G33" s="5" t="s">
        <v>32</v>
      </c>
      <c r="H33" s="5" t="s">
        <v>151</v>
      </c>
      <c r="I33" s="5">
        <v>2036.86</v>
      </c>
      <c r="J33" s="5">
        <v>7</v>
      </c>
      <c r="K33" s="5">
        <v>0</v>
      </c>
      <c r="L33" s="5">
        <v>366.63479999999902</v>
      </c>
      <c r="M33" s="5" t="s">
        <v>74</v>
      </c>
    </row>
    <row r="34" spans="1:13" ht="15.6" x14ac:dyDescent="0.3">
      <c r="A34" s="5" t="s">
        <v>304</v>
      </c>
      <c r="B34" s="6">
        <v>41884</v>
      </c>
      <c r="C34" s="6">
        <v>41886</v>
      </c>
      <c r="D34" s="5" t="s">
        <v>275</v>
      </c>
      <c r="E34" s="5" t="s">
        <v>40</v>
      </c>
      <c r="F34" s="5" t="s">
        <v>176</v>
      </c>
      <c r="G34" s="5" t="s">
        <v>45</v>
      </c>
      <c r="H34" s="5" t="s">
        <v>33</v>
      </c>
      <c r="I34" s="5" t="s">
        <v>163</v>
      </c>
      <c r="J34" s="5">
        <v>4</v>
      </c>
      <c r="K34" s="5">
        <v>0.2</v>
      </c>
      <c r="L34" s="5">
        <v>1415.4295999999899</v>
      </c>
      <c r="M34" s="5" t="s">
        <v>27</v>
      </c>
    </row>
    <row r="35" spans="1:13" ht="15.6" x14ac:dyDescent="0.3">
      <c r="A35" s="5" t="s">
        <v>302</v>
      </c>
      <c r="B35" s="6">
        <v>42315</v>
      </c>
      <c r="C35" s="6">
        <v>42322</v>
      </c>
      <c r="D35" s="5" t="s">
        <v>275</v>
      </c>
      <c r="E35" s="5" t="s">
        <v>40</v>
      </c>
      <c r="F35" s="5" t="s">
        <v>43</v>
      </c>
      <c r="G35" s="5" t="s">
        <v>32</v>
      </c>
      <c r="H35" s="5" t="s">
        <v>33</v>
      </c>
      <c r="I35" s="5">
        <v>449.56799999999998</v>
      </c>
      <c r="J35" s="5">
        <v>2</v>
      </c>
      <c r="K35" s="5">
        <v>0.2</v>
      </c>
      <c r="L35" s="5">
        <v>-73.0548</v>
      </c>
      <c r="M35" s="5" t="s">
        <v>74</v>
      </c>
    </row>
    <row r="36" spans="1:13" ht="15.6" x14ac:dyDescent="0.3">
      <c r="A36" s="5" t="s">
        <v>311</v>
      </c>
      <c r="B36" s="5" t="s">
        <v>312</v>
      </c>
      <c r="C36" s="6">
        <v>41717</v>
      </c>
      <c r="D36" s="5" t="s">
        <v>275</v>
      </c>
      <c r="E36" s="5" t="s">
        <v>40</v>
      </c>
      <c r="F36" s="5" t="s">
        <v>153</v>
      </c>
      <c r="G36" s="5" t="s">
        <v>45</v>
      </c>
      <c r="H36" s="5" t="s">
        <v>26</v>
      </c>
      <c r="I36" s="5">
        <v>160.32</v>
      </c>
      <c r="J36" s="5">
        <v>2</v>
      </c>
      <c r="K36" s="5">
        <v>0</v>
      </c>
      <c r="L36" s="5">
        <v>291.20200743633302</v>
      </c>
      <c r="M36" s="5" t="s">
        <v>19</v>
      </c>
    </row>
    <row r="37" spans="1:13" hidden="1" x14ac:dyDescent="0.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 hidden="1" x14ac:dyDescent="0.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 ht="15.6" x14ac:dyDescent="0.3">
      <c r="A39" s="5" t="s">
        <v>304</v>
      </c>
      <c r="B39" s="6">
        <v>41884</v>
      </c>
      <c r="C39" s="6">
        <v>41886</v>
      </c>
      <c r="D39" s="5" t="s">
        <v>275</v>
      </c>
      <c r="E39" s="5" t="s">
        <v>334</v>
      </c>
      <c r="F39" s="5" t="s">
        <v>111</v>
      </c>
      <c r="G39" s="5" t="s">
        <v>45</v>
      </c>
      <c r="H39" s="5" t="s">
        <v>33</v>
      </c>
      <c r="I39" s="5">
        <v>49.12</v>
      </c>
      <c r="J39" s="5">
        <v>4</v>
      </c>
      <c r="K39" s="5">
        <v>0</v>
      </c>
      <c r="L39" s="5">
        <v>23.086399999999902</v>
      </c>
      <c r="M39" s="5" t="s">
        <v>27</v>
      </c>
    </row>
    <row r="40" spans="1:13" ht="15.6" x14ac:dyDescent="0.3">
      <c r="A40" s="5" t="s">
        <v>311</v>
      </c>
      <c r="B40" s="6">
        <v>41712</v>
      </c>
      <c r="C40" s="6">
        <v>41717</v>
      </c>
      <c r="D40" s="5" t="s">
        <v>275</v>
      </c>
      <c r="E40" s="5" t="s">
        <v>334</v>
      </c>
      <c r="F40" s="5" t="s">
        <v>153</v>
      </c>
      <c r="G40" s="5" t="s">
        <v>32</v>
      </c>
      <c r="H40" s="5" t="s">
        <v>151</v>
      </c>
      <c r="I40" s="5">
        <v>127.88</v>
      </c>
      <c r="J40" s="5">
        <v>2</v>
      </c>
      <c r="K40" s="5">
        <v>0</v>
      </c>
      <c r="L40" s="5">
        <v>40.921599999999998</v>
      </c>
      <c r="M40" s="5" t="s">
        <v>19</v>
      </c>
    </row>
    <row r="41" spans="1:13" ht="15.6" x14ac:dyDescent="0.3">
      <c r="A41" s="5" t="s">
        <v>355</v>
      </c>
      <c r="B41" s="6">
        <v>41712</v>
      </c>
      <c r="C41" s="6">
        <v>41717</v>
      </c>
      <c r="D41" s="5" t="s">
        <v>275</v>
      </c>
      <c r="E41" s="5" t="s">
        <v>40</v>
      </c>
      <c r="F41" s="5" t="s">
        <v>153</v>
      </c>
      <c r="G41" s="5" t="s">
        <v>45</v>
      </c>
      <c r="H41" s="5" t="s">
        <v>26</v>
      </c>
      <c r="I41" s="5">
        <v>46</v>
      </c>
      <c r="J41" s="5">
        <v>4</v>
      </c>
      <c r="K41" s="5">
        <v>0</v>
      </c>
      <c r="L41" s="5">
        <v>20.7</v>
      </c>
      <c r="M41" s="5" t="s">
        <v>19</v>
      </c>
    </row>
    <row r="42" spans="1:13" ht="15.6" x14ac:dyDescent="0.3">
      <c r="A42" s="5" t="s">
        <v>359</v>
      </c>
      <c r="B42" s="6">
        <v>41881</v>
      </c>
      <c r="C42" s="6">
        <v>41886</v>
      </c>
      <c r="D42" s="5" t="s">
        <v>275</v>
      </c>
      <c r="E42" s="5" t="s">
        <v>40</v>
      </c>
      <c r="F42" s="5" t="s">
        <v>111</v>
      </c>
      <c r="G42" s="5" t="s">
        <v>45</v>
      </c>
      <c r="H42" s="5" t="s">
        <v>151</v>
      </c>
      <c r="I42" s="5">
        <v>27.93</v>
      </c>
      <c r="J42" s="5">
        <v>3</v>
      </c>
      <c r="K42" s="5">
        <v>0</v>
      </c>
      <c r="L42" s="5">
        <v>8.0996999999999897</v>
      </c>
      <c r="M42" s="5" t="s">
        <v>19</v>
      </c>
    </row>
    <row r="43" spans="1:13" ht="15.6" x14ac:dyDescent="0.3">
      <c r="A43" s="5" t="s">
        <v>370</v>
      </c>
      <c r="B43" s="6">
        <v>41535</v>
      </c>
      <c r="C43" s="6">
        <v>41541</v>
      </c>
      <c r="D43" s="5" t="s">
        <v>275</v>
      </c>
      <c r="E43" s="5" t="s">
        <v>40</v>
      </c>
      <c r="F43" s="5" t="s">
        <v>43</v>
      </c>
      <c r="G43" s="5" t="s">
        <v>45</v>
      </c>
      <c r="H43" s="5" t="s">
        <v>44</v>
      </c>
      <c r="I43" s="5">
        <v>18.54</v>
      </c>
      <c r="J43" s="5">
        <v>2</v>
      </c>
      <c r="K43" s="5">
        <v>0</v>
      </c>
      <c r="L43" s="5">
        <v>8.7137999999999902</v>
      </c>
      <c r="M43" s="5" t="s">
        <v>19</v>
      </c>
    </row>
    <row r="44" spans="1:13" ht="15.6" x14ac:dyDescent="0.3">
      <c r="A44" s="5" t="s">
        <v>304</v>
      </c>
      <c r="B44" s="6">
        <v>41884</v>
      </c>
      <c r="C44" s="6">
        <v>41886</v>
      </c>
      <c r="D44" s="5" t="s">
        <v>275</v>
      </c>
      <c r="E44" s="5" t="s">
        <v>40</v>
      </c>
      <c r="F44" s="5" t="s">
        <v>111</v>
      </c>
      <c r="G44" s="5" t="s">
        <v>45</v>
      </c>
      <c r="H44" s="5" t="s">
        <v>26</v>
      </c>
      <c r="I44" s="5">
        <v>3.048</v>
      </c>
      <c r="J44" s="5">
        <v>1</v>
      </c>
      <c r="K44" s="5">
        <v>0.2</v>
      </c>
      <c r="L44" s="5">
        <v>1.0668</v>
      </c>
      <c r="M44" s="5" t="s">
        <v>27</v>
      </c>
    </row>
    <row r="45" spans="1:13" hidden="1" x14ac:dyDescent="0.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 ht="15.6" x14ac:dyDescent="0.3">
      <c r="A46" s="5" t="s">
        <v>326</v>
      </c>
      <c r="B46" s="6">
        <v>42314</v>
      </c>
      <c r="C46" s="6">
        <v>42316</v>
      </c>
      <c r="D46" s="5" t="s">
        <v>275</v>
      </c>
      <c r="E46" s="5" t="s">
        <v>40</v>
      </c>
      <c r="F46" s="5" t="s">
        <v>41</v>
      </c>
      <c r="G46" s="5" t="s">
        <v>45</v>
      </c>
      <c r="H46" s="5" t="s">
        <v>127</v>
      </c>
      <c r="I46" s="5">
        <v>4.41</v>
      </c>
      <c r="J46" s="5">
        <v>1</v>
      </c>
      <c r="K46" s="5">
        <v>0</v>
      </c>
      <c r="L46" s="5">
        <v>2.0286</v>
      </c>
      <c r="M46" s="5" t="s">
        <v>37</v>
      </c>
    </row>
    <row r="47" spans="1:13" ht="15.6" x14ac:dyDescent="0.3">
      <c r="A47" s="5" t="s">
        <v>485</v>
      </c>
      <c r="B47" s="6">
        <v>42334</v>
      </c>
      <c r="C47" s="6">
        <v>42337</v>
      </c>
      <c r="D47" s="5" t="s">
        <v>275</v>
      </c>
      <c r="E47" s="5" t="s">
        <v>437</v>
      </c>
      <c r="F47" s="5" t="s">
        <v>438</v>
      </c>
      <c r="G47" s="5" t="s">
        <v>45</v>
      </c>
      <c r="H47" s="5" t="s">
        <v>33</v>
      </c>
      <c r="I47" s="5">
        <v>1237.56</v>
      </c>
      <c r="J47" s="5">
        <v>4</v>
      </c>
      <c r="K47" s="5">
        <v>0</v>
      </c>
      <c r="L47" s="5">
        <v>606.36</v>
      </c>
      <c r="M47" s="5" t="s">
        <v>27</v>
      </c>
    </row>
    <row r="48" spans="1:13" hidden="1" x14ac:dyDescent="0.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 ht="15.6" x14ac:dyDescent="0.3">
      <c r="A49" s="5" t="s">
        <v>417</v>
      </c>
      <c r="B49" s="6">
        <v>42301</v>
      </c>
      <c r="C49" s="6">
        <v>42302</v>
      </c>
      <c r="D49" s="5" t="s">
        <v>418</v>
      </c>
      <c r="E49" s="5" t="s">
        <v>40</v>
      </c>
      <c r="F49" s="5" t="s">
        <v>111</v>
      </c>
      <c r="G49" s="5" t="s">
        <v>32</v>
      </c>
      <c r="H49" s="5" t="s">
        <v>23</v>
      </c>
      <c r="I49" s="5">
        <v>637.89599999999996</v>
      </c>
      <c r="J49" s="5">
        <v>3</v>
      </c>
      <c r="K49" s="5">
        <v>0.3</v>
      </c>
      <c r="L49" s="5">
        <v>-127.57919999999901</v>
      </c>
      <c r="M49" s="5" t="s">
        <v>27</v>
      </c>
    </row>
    <row r="50" spans="1:13" hidden="1" x14ac:dyDescent="0.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 ht="15.6" x14ac:dyDescent="0.3">
      <c r="A51" s="5" t="s">
        <v>417</v>
      </c>
      <c r="B51" s="6">
        <v>42301</v>
      </c>
      <c r="C51" s="6">
        <v>42302</v>
      </c>
      <c r="D51" s="5" t="s">
        <v>418</v>
      </c>
      <c r="E51" s="5" t="s">
        <v>40</v>
      </c>
      <c r="F51" s="5" t="s">
        <v>111</v>
      </c>
      <c r="G51" s="5" t="s">
        <v>32</v>
      </c>
      <c r="H51" s="5" t="s">
        <v>26</v>
      </c>
      <c r="I51" s="5">
        <v>240.744</v>
      </c>
      <c r="J51" s="5">
        <v>4</v>
      </c>
      <c r="K51" s="5">
        <v>0.3</v>
      </c>
      <c r="L51" s="5">
        <v>-13.756799999999901</v>
      </c>
      <c r="M51" s="5" t="s">
        <v>27</v>
      </c>
    </row>
    <row r="52" spans="1:13" hidden="1" x14ac:dyDescent="0.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 hidden="1" x14ac:dyDescent="0.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 hidden="1" x14ac:dyDescent="0.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 ht="15.6" x14ac:dyDescent="0.3">
      <c r="A55" s="5" t="s">
        <v>441</v>
      </c>
      <c r="B55" s="6">
        <v>41817</v>
      </c>
      <c r="C55" s="6">
        <v>41817</v>
      </c>
      <c r="D55" s="5" t="s">
        <v>418</v>
      </c>
      <c r="E55" s="5" t="s">
        <v>40</v>
      </c>
      <c r="F55" s="5" t="s">
        <v>43</v>
      </c>
      <c r="G55" s="5" t="s">
        <v>45</v>
      </c>
      <c r="H55" s="5" t="s">
        <v>299</v>
      </c>
      <c r="I55" s="5" t="s">
        <v>163</v>
      </c>
      <c r="J55" s="5">
        <v>2</v>
      </c>
      <c r="K55" s="5">
        <v>0</v>
      </c>
      <c r="L55" s="5">
        <v>11.585999999999901</v>
      </c>
      <c r="M55" s="5" t="s">
        <v>27</v>
      </c>
    </row>
    <row r="56" spans="1:13" hidden="1" x14ac:dyDescent="0.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 ht="15.6" x14ac:dyDescent="0.3">
      <c r="A57" s="5" t="s">
        <v>449</v>
      </c>
      <c r="B57" s="6">
        <v>42101</v>
      </c>
      <c r="C57" s="6">
        <v>42106</v>
      </c>
      <c r="D57" s="5" t="s">
        <v>418</v>
      </c>
      <c r="E57" s="5" t="s">
        <v>450</v>
      </c>
      <c r="F57" s="5" t="s">
        <v>451</v>
      </c>
      <c r="G57" s="5" t="s">
        <v>45</v>
      </c>
      <c r="H57" s="5" t="s">
        <v>33</v>
      </c>
      <c r="I57" s="5">
        <v>137.31</v>
      </c>
      <c r="J57" s="5">
        <v>1</v>
      </c>
      <c r="K57" s="5">
        <v>0</v>
      </c>
      <c r="L57" s="5">
        <v>54.9</v>
      </c>
      <c r="M57" s="5" t="s">
        <v>37</v>
      </c>
    </row>
    <row r="58" spans="1:13" ht="15.6" x14ac:dyDescent="0.3">
      <c r="A58" s="5" t="s">
        <v>482</v>
      </c>
      <c r="B58" s="6">
        <v>42273</v>
      </c>
      <c r="C58" s="6">
        <v>42276</v>
      </c>
      <c r="D58" s="5" t="s">
        <v>418</v>
      </c>
      <c r="E58" s="5" t="s">
        <v>40</v>
      </c>
      <c r="F58" s="5" t="s">
        <v>111</v>
      </c>
      <c r="G58" s="5" t="s">
        <v>165</v>
      </c>
      <c r="H58" s="5" t="s">
        <v>151</v>
      </c>
      <c r="I58" s="5">
        <v>190.89599999999999</v>
      </c>
      <c r="J58" s="5">
        <v>2</v>
      </c>
      <c r="K58" s="5">
        <v>0.2</v>
      </c>
      <c r="L58" s="5">
        <v>-42.951599999999999</v>
      </c>
      <c r="M58" s="5" t="s">
        <v>19</v>
      </c>
    </row>
    <row r="59" spans="1:13" hidden="1" x14ac:dyDescent="0.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 hidden="1" x14ac:dyDescent="0.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 ht="15.6" x14ac:dyDescent="0.3">
      <c r="A61" s="5" t="s">
        <v>445</v>
      </c>
      <c r="B61" s="6">
        <v>41991</v>
      </c>
      <c r="C61" s="6">
        <v>41995</v>
      </c>
      <c r="D61" s="5" t="s">
        <v>418</v>
      </c>
      <c r="E61" s="5" t="s">
        <v>40</v>
      </c>
      <c r="F61" s="5" t="s">
        <v>493</v>
      </c>
      <c r="G61" s="5" t="s">
        <v>45</v>
      </c>
      <c r="H61" s="5" t="s">
        <v>46</v>
      </c>
      <c r="I61" s="5">
        <v>51.84</v>
      </c>
      <c r="J61" s="5">
        <v>10</v>
      </c>
      <c r="K61" s="5">
        <v>0.2</v>
      </c>
      <c r="L61" s="5">
        <v>18.143999999999998</v>
      </c>
      <c r="M61" s="5" t="s">
        <v>19</v>
      </c>
    </row>
    <row r="62" spans="1:13" ht="15.6" x14ac:dyDescent="0.3">
      <c r="A62" s="5" t="s">
        <v>441</v>
      </c>
      <c r="B62" s="6">
        <v>41817</v>
      </c>
      <c r="C62" s="6">
        <v>41817</v>
      </c>
      <c r="D62" s="5" t="s">
        <v>418</v>
      </c>
      <c r="E62" s="5" t="s">
        <v>40</v>
      </c>
      <c r="F62" s="5" t="s">
        <v>43</v>
      </c>
      <c r="G62" s="5" t="s">
        <v>45</v>
      </c>
      <c r="H62" s="5" t="s">
        <v>73</v>
      </c>
      <c r="I62" s="5">
        <v>17.899999999999999</v>
      </c>
      <c r="J62" s="5">
        <v>5</v>
      </c>
      <c r="K62" s="5">
        <v>0</v>
      </c>
      <c r="L62" s="5">
        <v>8.9499999999999993</v>
      </c>
      <c r="M62" s="5" t="s">
        <v>27</v>
      </c>
    </row>
    <row r="63" spans="1:13" ht="15.6" x14ac:dyDescent="0.3">
      <c r="A63" s="5" t="s">
        <v>508</v>
      </c>
      <c r="B63" s="6">
        <v>42335</v>
      </c>
      <c r="C63" s="6">
        <v>42016</v>
      </c>
      <c r="D63" s="5" t="s">
        <v>418</v>
      </c>
      <c r="E63" s="5" t="s">
        <v>40</v>
      </c>
      <c r="F63" s="5" t="s">
        <v>153</v>
      </c>
      <c r="G63" s="5" t="s">
        <v>45</v>
      </c>
      <c r="H63" s="5" t="s">
        <v>44</v>
      </c>
      <c r="I63" s="5">
        <v>12.84</v>
      </c>
      <c r="J63" s="5">
        <v>3</v>
      </c>
      <c r="K63" s="5">
        <v>0</v>
      </c>
      <c r="L63" s="5">
        <v>3.72359999999999</v>
      </c>
      <c r="M63" s="5" t="s">
        <v>19</v>
      </c>
    </row>
    <row r="64" spans="1:13" ht="15.6" x14ac:dyDescent="0.3">
      <c r="A64" s="5" t="s">
        <v>417</v>
      </c>
      <c r="B64" s="6">
        <v>42301</v>
      </c>
      <c r="C64" s="6">
        <v>42302</v>
      </c>
      <c r="D64" s="5" t="s">
        <v>418</v>
      </c>
      <c r="E64" s="5" t="s">
        <v>40</v>
      </c>
      <c r="F64" s="5" t="s">
        <v>111</v>
      </c>
      <c r="G64" s="5" t="s">
        <v>45</v>
      </c>
      <c r="H64" s="5" t="s">
        <v>151</v>
      </c>
      <c r="I64" s="5">
        <v>2.2200000000000002</v>
      </c>
      <c r="J64" s="5">
        <v>1</v>
      </c>
      <c r="K64" s="5">
        <v>0</v>
      </c>
      <c r="L64" s="5" t="s">
        <v>516</v>
      </c>
      <c r="M64" s="5" t="s">
        <v>27</v>
      </c>
    </row>
    <row r="65" spans="1:13" hidden="1" x14ac:dyDescent="0.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 ht="15.6" x14ac:dyDescent="0.3">
      <c r="A66" s="5" t="s">
        <v>528</v>
      </c>
      <c r="B66" s="5" t="s">
        <v>125</v>
      </c>
      <c r="C66" s="6">
        <v>41234</v>
      </c>
      <c r="D66" s="5" t="s">
        <v>418</v>
      </c>
      <c r="E66" s="5" t="s">
        <v>40</v>
      </c>
      <c r="F66" s="5" t="s">
        <v>245</v>
      </c>
      <c r="G66" s="5" t="s">
        <v>45</v>
      </c>
      <c r="H66" s="5" t="s">
        <v>23</v>
      </c>
      <c r="I66" s="5">
        <v>5.22</v>
      </c>
      <c r="J66" s="5">
        <v>2</v>
      </c>
      <c r="K66" s="5">
        <v>0</v>
      </c>
      <c r="L66" s="5">
        <v>2.4011999999999998</v>
      </c>
      <c r="M66" s="5" t="s">
        <v>19</v>
      </c>
    </row>
    <row r="67" spans="1:13" hidden="1" x14ac:dyDescent="0.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 ht="15.6" x14ac:dyDescent="0.3">
      <c r="A68" s="5" t="s">
        <v>482</v>
      </c>
      <c r="B68" s="6">
        <v>42273</v>
      </c>
      <c r="C68" s="6">
        <v>42276</v>
      </c>
      <c r="D68" s="5" t="s">
        <v>418</v>
      </c>
      <c r="E68" s="5" t="s">
        <v>40</v>
      </c>
      <c r="F68" s="5" t="s">
        <v>111</v>
      </c>
      <c r="G68" s="5" t="s">
        <v>45</v>
      </c>
      <c r="H68" s="5" t="s">
        <v>127</v>
      </c>
      <c r="I68" s="5">
        <v>8.5950000000000006</v>
      </c>
      <c r="J68" s="5">
        <v>5</v>
      </c>
      <c r="K68" s="5">
        <v>0.7</v>
      </c>
      <c r="L68" s="5">
        <v>-6.3029999999999999</v>
      </c>
      <c r="M68" s="5" t="s">
        <v>19</v>
      </c>
    </row>
    <row r="69" spans="1:13" hidden="1" x14ac:dyDescent="0.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 ht="15.6" x14ac:dyDescent="0.3">
      <c r="A70" s="5" t="s">
        <v>582</v>
      </c>
      <c r="B70" s="6">
        <v>42264</v>
      </c>
      <c r="C70" s="6">
        <v>42266</v>
      </c>
      <c r="D70" s="5" t="s">
        <v>583</v>
      </c>
      <c r="E70" s="5" t="s">
        <v>40</v>
      </c>
      <c r="F70" s="5" t="s">
        <v>111</v>
      </c>
      <c r="G70" s="5" t="s">
        <v>45</v>
      </c>
      <c r="H70" s="5" t="s">
        <v>26</v>
      </c>
      <c r="I70" s="5">
        <v>538.19399999999996</v>
      </c>
      <c r="J70" s="5">
        <v>2</v>
      </c>
      <c r="K70" s="5">
        <v>0.7</v>
      </c>
      <c r="L70" s="5">
        <v>-412.615399999999</v>
      </c>
      <c r="M70" s="5" t="s">
        <v>27</v>
      </c>
    </row>
    <row r="71" spans="1:13" ht="15.6" x14ac:dyDescent="0.3">
      <c r="A71" s="5" t="s">
        <v>372</v>
      </c>
      <c r="B71" s="6">
        <v>41801</v>
      </c>
      <c r="C71" s="6">
        <v>41805</v>
      </c>
      <c r="D71" s="5" t="s">
        <v>373</v>
      </c>
      <c r="E71" s="5" t="s">
        <v>141</v>
      </c>
      <c r="F71" s="5" t="s">
        <v>142</v>
      </c>
      <c r="G71" s="5" t="s">
        <v>32</v>
      </c>
      <c r="H71" s="5" t="s">
        <v>18</v>
      </c>
      <c r="I71" s="5">
        <v>3126.40019999999</v>
      </c>
      <c r="J71" s="5">
        <v>9</v>
      </c>
      <c r="K71" s="5">
        <v>0.27</v>
      </c>
      <c r="L71" s="5">
        <v>-128.719799999999</v>
      </c>
      <c r="M71" s="5" t="s">
        <v>37</v>
      </c>
    </row>
    <row r="72" spans="1:13" hidden="1" x14ac:dyDescent="0.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 hidden="1" x14ac:dyDescent="0.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 hidden="1" x14ac:dyDescent="0.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 ht="15.6" x14ac:dyDescent="0.3">
      <c r="A75" s="5" t="s">
        <v>206</v>
      </c>
      <c r="B75" s="6">
        <v>41826</v>
      </c>
      <c r="C75" s="6">
        <v>41799</v>
      </c>
      <c r="D75" s="5" t="s">
        <v>207</v>
      </c>
      <c r="E75" s="5" t="s">
        <v>208</v>
      </c>
      <c r="F75" s="5" t="s">
        <v>90</v>
      </c>
      <c r="G75" s="5" t="s">
        <v>32</v>
      </c>
      <c r="H75" s="5" t="s">
        <v>26</v>
      </c>
      <c r="I75" s="5">
        <v>3298.2599999999902</v>
      </c>
      <c r="J75" s="5">
        <v>7</v>
      </c>
      <c r="K75" s="5">
        <v>0</v>
      </c>
      <c r="L75" s="5">
        <v>1055.25</v>
      </c>
      <c r="M75" s="5" t="s">
        <v>37</v>
      </c>
    </row>
    <row r="76" spans="1:13" hidden="1" x14ac:dyDescent="0.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 hidden="1" x14ac:dyDescent="0.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 ht="15.6" x14ac:dyDescent="0.3">
      <c r="A78" s="5" t="s">
        <v>238</v>
      </c>
      <c r="B78" s="6">
        <v>41966</v>
      </c>
      <c r="C78" s="6">
        <v>41966</v>
      </c>
      <c r="D78" s="5" t="s">
        <v>239</v>
      </c>
      <c r="E78" s="5" t="s">
        <v>232</v>
      </c>
      <c r="F78" s="5" t="s">
        <v>233</v>
      </c>
      <c r="G78" s="5" t="s">
        <v>45</v>
      </c>
      <c r="H78" s="5" t="s">
        <v>26</v>
      </c>
      <c r="I78" s="5">
        <v>2266.44</v>
      </c>
      <c r="J78" s="5">
        <v>4</v>
      </c>
      <c r="K78" s="5">
        <v>0</v>
      </c>
      <c r="L78" s="5">
        <v>113.28</v>
      </c>
      <c r="M78" s="5" t="s">
        <v>19</v>
      </c>
    </row>
    <row r="79" spans="1:13" hidden="1" x14ac:dyDescent="0.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 hidden="1" x14ac:dyDescent="0.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 ht="15.6" x14ac:dyDescent="0.3">
      <c r="A81" s="5" t="s">
        <v>419</v>
      </c>
      <c r="B81" s="6">
        <v>42197</v>
      </c>
      <c r="C81" s="6">
        <v>42199</v>
      </c>
      <c r="D81" s="5" t="s">
        <v>420</v>
      </c>
      <c r="E81" s="5" t="s">
        <v>141</v>
      </c>
      <c r="F81" s="5" t="s">
        <v>142</v>
      </c>
      <c r="G81" s="5" t="s">
        <v>45</v>
      </c>
      <c r="H81" s="5" t="s">
        <v>44</v>
      </c>
      <c r="I81" s="5">
        <v>1722.2831999999901</v>
      </c>
      <c r="J81" s="5">
        <v>4</v>
      </c>
      <c r="K81" s="5">
        <v>0.17</v>
      </c>
      <c r="L81" s="5">
        <v>539.44319999999902</v>
      </c>
      <c r="M81" s="5" t="s">
        <v>27</v>
      </c>
    </row>
    <row r="82" spans="1:13" hidden="1" x14ac:dyDescent="0.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 ht="15.6" x14ac:dyDescent="0.3">
      <c r="A83" s="5" t="s">
        <v>409</v>
      </c>
      <c r="B83" s="6">
        <v>41136</v>
      </c>
      <c r="C83" s="6">
        <v>41141</v>
      </c>
      <c r="D83" s="5" t="s">
        <v>410</v>
      </c>
      <c r="E83" s="5" t="s">
        <v>93</v>
      </c>
      <c r="F83" s="5" t="s">
        <v>94</v>
      </c>
      <c r="G83" s="5" t="s">
        <v>17</v>
      </c>
      <c r="H83" s="5" t="s">
        <v>73</v>
      </c>
      <c r="I83" s="5">
        <v>4453.05</v>
      </c>
      <c r="J83" s="5">
        <v>7</v>
      </c>
      <c r="K83" s="5">
        <v>0</v>
      </c>
      <c r="L83" s="5">
        <v>1424.85</v>
      </c>
      <c r="M83" s="5" t="s">
        <v>19</v>
      </c>
    </row>
    <row r="84" spans="1:13" hidden="1" x14ac:dyDescent="0.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 hidden="1" x14ac:dyDescent="0.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 ht="15.6" x14ac:dyDescent="0.3">
      <c r="A86" s="5" t="s">
        <v>468</v>
      </c>
      <c r="B86" s="6">
        <v>42284</v>
      </c>
      <c r="C86" s="6">
        <v>42288</v>
      </c>
      <c r="D86" s="5" t="s">
        <v>469</v>
      </c>
      <c r="E86" s="5" t="s">
        <v>114</v>
      </c>
      <c r="F86" s="5" t="s">
        <v>115</v>
      </c>
      <c r="G86" s="5" t="s">
        <v>17</v>
      </c>
      <c r="H86" s="5" t="s">
        <v>33</v>
      </c>
      <c r="I86" s="5">
        <v>2582.16</v>
      </c>
      <c r="J86" s="5">
        <v>4</v>
      </c>
      <c r="K86" s="5">
        <v>0</v>
      </c>
      <c r="L86" s="5">
        <v>361.44</v>
      </c>
      <c r="M86" s="5" t="s">
        <v>37</v>
      </c>
    </row>
    <row r="87" spans="1:13" hidden="1" x14ac:dyDescent="0.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 ht="15.6" x14ac:dyDescent="0.3">
      <c r="A88" s="5" t="s">
        <v>156</v>
      </c>
      <c r="B88" s="6">
        <v>42244</v>
      </c>
      <c r="C88" s="6">
        <v>42245</v>
      </c>
      <c r="D88" s="5" t="s">
        <v>157</v>
      </c>
      <c r="E88" s="5" t="s">
        <v>66</v>
      </c>
      <c r="F88" s="5" t="s">
        <v>90</v>
      </c>
      <c r="G88" s="5" t="s">
        <v>32</v>
      </c>
      <c r="H88" s="5" t="s">
        <v>46</v>
      </c>
      <c r="I88" s="5">
        <v>2761.2</v>
      </c>
      <c r="J88" s="5">
        <v>6</v>
      </c>
      <c r="K88" s="5">
        <v>0</v>
      </c>
      <c r="L88" s="5">
        <v>110.34</v>
      </c>
      <c r="M88" s="5" t="s">
        <v>37</v>
      </c>
    </row>
    <row r="89" spans="1:13" hidden="1" x14ac:dyDescent="0.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 ht="15.6" x14ac:dyDescent="0.3">
      <c r="A90" s="5" t="s">
        <v>143</v>
      </c>
      <c r="B90" s="6">
        <v>42319</v>
      </c>
      <c r="C90" s="6">
        <v>42323</v>
      </c>
      <c r="D90" s="5" t="s">
        <v>144</v>
      </c>
      <c r="E90" s="5" t="s">
        <v>114</v>
      </c>
      <c r="F90" s="5" t="s">
        <v>115</v>
      </c>
      <c r="G90" s="5" t="s">
        <v>17</v>
      </c>
      <c r="H90" s="5" t="s">
        <v>26</v>
      </c>
      <c r="I90" s="5">
        <v>4518.78</v>
      </c>
      <c r="J90" s="5">
        <v>7</v>
      </c>
      <c r="K90" s="5">
        <v>0</v>
      </c>
      <c r="L90" s="5">
        <v>632.52</v>
      </c>
      <c r="M90" s="5" t="s">
        <v>37</v>
      </c>
    </row>
    <row r="91" spans="1:13" ht="15.6" x14ac:dyDescent="0.3">
      <c r="A91" s="5" t="s">
        <v>143</v>
      </c>
      <c r="B91" s="6">
        <v>42319</v>
      </c>
      <c r="C91" s="6">
        <v>42323</v>
      </c>
      <c r="D91" s="5" t="s">
        <v>144</v>
      </c>
      <c r="E91" s="5" t="s">
        <v>114</v>
      </c>
      <c r="F91" s="5" t="s">
        <v>115</v>
      </c>
      <c r="G91" s="5" t="s">
        <v>45</v>
      </c>
      <c r="H91" s="5" t="s">
        <v>26</v>
      </c>
      <c r="I91" s="5">
        <v>3622.28999999999</v>
      </c>
      <c r="J91" s="5">
        <v>7</v>
      </c>
      <c r="K91" s="5">
        <v>0</v>
      </c>
      <c r="L91" s="5">
        <v>1267.77</v>
      </c>
      <c r="M91" s="5" t="s">
        <v>37</v>
      </c>
    </row>
    <row r="92" spans="1:13" hidden="1" x14ac:dyDescent="0.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 hidden="1" x14ac:dyDescent="0.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 ht="15.6" x14ac:dyDescent="0.3">
      <c r="A94" s="5" t="s">
        <v>383</v>
      </c>
      <c r="B94" s="6">
        <v>41076</v>
      </c>
      <c r="C94" s="6">
        <v>41078</v>
      </c>
      <c r="D94" s="5" t="s">
        <v>384</v>
      </c>
      <c r="E94" s="5" t="s">
        <v>66</v>
      </c>
      <c r="F94" s="5" t="s">
        <v>90</v>
      </c>
      <c r="G94" s="5" t="s">
        <v>32</v>
      </c>
      <c r="H94" s="5" t="s">
        <v>26</v>
      </c>
      <c r="I94" s="5">
        <v>3238.3049999999998</v>
      </c>
      <c r="J94" s="5">
        <v>5</v>
      </c>
      <c r="K94" s="5">
        <v>0.3</v>
      </c>
      <c r="L94" s="5" t="s">
        <v>385</v>
      </c>
      <c r="M94" s="5" t="s">
        <v>37</v>
      </c>
    </row>
    <row r="95" spans="1:13" hidden="1" x14ac:dyDescent="0.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 hidden="1" x14ac:dyDescent="0.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 ht="15.6" x14ac:dyDescent="0.3">
      <c r="A97" s="5" t="s">
        <v>374</v>
      </c>
      <c r="B97" s="6">
        <v>41130</v>
      </c>
      <c r="C97" s="6">
        <v>41137</v>
      </c>
      <c r="D97" s="5" t="s">
        <v>375</v>
      </c>
      <c r="E97" s="5" t="s">
        <v>93</v>
      </c>
      <c r="F97" s="5" t="s">
        <v>94</v>
      </c>
      <c r="G97" s="5" t="s">
        <v>17</v>
      </c>
      <c r="H97" s="5" t="s">
        <v>151</v>
      </c>
      <c r="I97" s="5">
        <v>5276.9880000000003</v>
      </c>
      <c r="J97" s="5">
        <v>9</v>
      </c>
      <c r="K97" s="5">
        <v>0.1</v>
      </c>
      <c r="L97" s="5">
        <v>1758.8879999999899</v>
      </c>
      <c r="M97" s="5" t="s">
        <v>19</v>
      </c>
    </row>
    <row r="98" spans="1:13" ht="15.6" x14ac:dyDescent="0.3">
      <c r="A98" s="5" t="s">
        <v>241</v>
      </c>
      <c r="B98" s="6">
        <v>41940</v>
      </c>
      <c r="C98" s="6">
        <v>41943</v>
      </c>
      <c r="D98" s="5" t="s">
        <v>242</v>
      </c>
      <c r="E98" s="5" t="s">
        <v>184</v>
      </c>
      <c r="F98" s="5" t="s">
        <v>115</v>
      </c>
      <c r="G98" s="5" t="s">
        <v>32</v>
      </c>
      <c r="H98" s="5" t="s">
        <v>73</v>
      </c>
      <c r="I98" s="5">
        <v>3728.4299999999898</v>
      </c>
      <c r="J98" s="5">
        <v>9</v>
      </c>
      <c r="K98" s="5">
        <v>0</v>
      </c>
      <c r="L98" s="5">
        <v>1192.8599999999999</v>
      </c>
      <c r="M98" s="5" t="s">
        <v>19</v>
      </c>
    </row>
    <row r="99" spans="1:13" ht="15.6" x14ac:dyDescent="0.3">
      <c r="A99" s="5" t="s">
        <v>360</v>
      </c>
      <c r="B99" s="6">
        <v>42082</v>
      </c>
      <c r="C99" s="6">
        <v>42084</v>
      </c>
      <c r="D99" s="5" t="s">
        <v>361</v>
      </c>
      <c r="E99" s="5" t="s">
        <v>97</v>
      </c>
      <c r="F99" s="5" t="s">
        <v>98</v>
      </c>
      <c r="G99" s="5" t="s">
        <v>45</v>
      </c>
      <c r="H99" s="5" t="s">
        <v>44</v>
      </c>
      <c r="I99" s="5">
        <v>1888.7</v>
      </c>
      <c r="J99" s="5">
        <v>5</v>
      </c>
      <c r="K99" s="5">
        <v>0</v>
      </c>
      <c r="L99" s="5">
        <v>887.6</v>
      </c>
      <c r="M99" s="5" t="s">
        <v>37</v>
      </c>
    </row>
    <row r="100" spans="1:13" hidden="1" x14ac:dyDescent="0.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 ht="15.6" x14ac:dyDescent="0.3">
      <c r="A101" s="5" t="s">
        <v>121</v>
      </c>
      <c r="B101" s="6">
        <v>41472</v>
      </c>
      <c r="C101" s="6">
        <v>41474</v>
      </c>
      <c r="D101" s="5" t="s">
        <v>122</v>
      </c>
      <c r="E101" s="5" t="s">
        <v>70</v>
      </c>
      <c r="F101" s="5" t="s">
        <v>71</v>
      </c>
      <c r="G101" s="5" t="s">
        <v>17</v>
      </c>
      <c r="H101" s="5" t="s">
        <v>23</v>
      </c>
      <c r="I101" s="5">
        <v>2402.8649999999998</v>
      </c>
      <c r="J101" s="5">
        <v>9</v>
      </c>
      <c r="K101" s="5">
        <v>0.15</v>
      </c>
      <c r="L101" s="5">
        <v>763.15499999999997</v>
      </c>
      <c r="M101" s="5" t="s">
        <v>27</v>
      </c>
    </row>
    <row r="102" spans="1:13" hidden="1" x14ac:dyDescent="0.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 hidden="1" x14ac:dyDescent="0.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 hidden="1" x14ac:dyDescent="0.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 hidden="1" x14ac:dyDescent="0.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 ht="15.6" x14ac:dyDescent="0.3">
      <c r="A106" s="5" t="s">
        <v>538</v>
      </c>
      <c r="B106" s="6">
        <v>41478</v>
      </c>
      <c r="C106" s="6">
        <v>41483</v>
      </c>
      <c r="D106" s="5" t="s">
        <v>539</v>
      </c>
      <c r="E106" s="5" t="s">
        <v>22</v>
      </c>
      <c r="F106" s="5" t="s">
        <v>71</v>
      </c>
      <c r="G106" s="5" t="s">
        <v>17</v>
      </c>
      <c r="H106" s="5" t="s">
        <v>127</v>
      </c>
      <c r="I106" s="5">
        <v>2944.08</v>
      </c>
      <c r="J106" s="5">
        <v>5</v>
      </c>
      <c r="K106" s="5">
        <v>0.1</v>
      </c>
      <c r="L106" s="5">
        <v>1112.1300000000001</v>
      </c>
      <c r="M106" s="5" t="s">
        <v>37</v>
      </c>
    </row>
    <row r="107" spans="1:13" hidden="1" x14ac:dyDescent="0.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 ht="15.6" x14ac:dyDescent="0.3">
      <c r="A108" s="5" t="s">
        <v>461</v>
      </c>
      <c r="B108" s="6">
        <v>41108</v>
      </c>
      <c r="C108" s="6">
        <v>41109</v>
      </c>
      <c r="D108" s="5" t="s">
        <v>462</v>
      </c>
      <c r="E108" s="5" t="s">
        <v>310</v>
      </c>
      <c r="F108" s="5" t="s">
        <v>142</v>
      </c>
      <c r="G108" s="5" t="s">
        <v>17</v>
      </c>
      <c r="H108" s="5" t="s">
        <v>151</v>
      </c>
      <c r="I108" s="5">
        <v>2555.64</v>
      </c>
      <c r="J108" s="5">
        <v>4</v>
      </c>
      <c r="K108" s="5">
        <v>0</v>
      </c>
      <c r="L108" s="5">
        <v>664.43999999999903</v>
      </c>
      <c r="M108" s="5" t="s">
        <v>37</v>
      </c>
    </row>
    <row r="109" spans="1:13" ht="15.6" x14ac:dyDescent="0.3">
      <c r="A109" s="5" t="s">
        <v>576</v>
      </c>
      <c r="B109" s="6">
        <v>41976</v>
      </c>
      <c r="C109" s="6">
        <v>41977</v>
      </c>
      <c r="D109" s="5" t="s">
        <v>577</v>
      </c>
      <c r="E109" s="5" t="s">
        <v>97</v>
      </c>
      <c r="F109" s="5" t="s">
        <v>98</v>
      </c>
      <c r="G109" s="5" t="s">
        <v>17</v>
      </c>
      <c r="H109" s="5" t="s">
        <v>73</v>
      </c>
      <c r="I109" s="5">
        <v>1278</v>
      </c>
      <c r="J109" s="5">
        <v>3</v>
      </c>
      <c r="K109" s="5">
        <v>0</v>
      </c>
      <c r="L109" s="5">
        <v>89.46</v>
      </c>
      <c r="M109" s="5" t="s">
        <v>37</v>
      </c>
    </row>
    <row r="110" spans="1:13" hidden="1" x14ac:dyDescent="0.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 ht="15.6" x14ac:dyDescent="0.3">
      <c r="A111" s="5" t="s">
        <v>552</v>
      </c>
      <c r="B111" s="6">
        <v>41496</v>
      </c>
      <c r="C111" s="6">
        <v>41498</v>
      </c>
      <c r="D111" s="5" t="s">
        <v>553</v>
      </c>
      <c r="E111" s="5" t="s">
        <v>554</v>
      </c>
      <c r="F111" s="5" t="s">
        <v>90</v>
      </c>
      <c r="G111" s="5" t="s">
        <v>17</v>
      </c>
      <c r="H111" s="5" t="s">
        <v>33</v>
      </c>
      <c r="I111" s="5">
        <v>3038.64</v>
      </c>
      <c r="J111" s="5">
        <v>8</v>
      </c>
      <c r="K111" s="5">
        <v>0</v>
      </c>
      <c r="L111" s="5">
        <v>1245.8399999999999</v>
      </c>
      <c r="M111" s="5" t="s">
        <v>37</v>
      </c>
    </row>
    <row r="112" spans="1:13" ht="15.6" x14ac:dyDescent="0.3">
      <c r="A112" s="5" t="s">
        <v>597</v>
      </c>
      <c r="B112" s="6">
        <v>42245</v>
      </c>
      <c r="C112" s="6">
        <v>42249</v>
      </c>
      <c r="D112" s="5" t="s">
        <v>598</v>
      </c>
      <c r="E112" s="5" t="s">
        <v>97</v>
      </c>
      <c r="F112" s="5" t="s">
        <v>98</v>
      </c>
      <c r="G112" s="5" t="s">
        <v>17</v>
      </c>
      <c r="H112" s="5" t="s">
        <v>33</v>
      </c>
      <c r="I112" s="5">
        <v>2142.3000000000002</v>
      </c>
      <c r="J112" s="5">
        <v>5</v>
      </c>
      <c r="K112" s="5">
        <v>0</v>
      </c>
      <c r="L112" s="5">
        <v>556.9</v>
      </c>
      <c r="M112" s="5" t="s">
        <v>37</v>
      </c>
    </row>
    <row r="113" spans="1:13" ht="15.6" x14ac:dyDescent="0.3">
      <c r="A113" s="5" t="s">
        <v>300</v>
      </c>
      <c r="B113" s="6">
        <v>41913</v>
      </c>
      <c r="C113" s="6">
        <v>41914</v>
      </c>
      <c r="D113" s="5" t="s">
        <v>301</v>
      </c>
      <c r="E113" s="5" t="s">
        <v>15</v>
      </c>
      <c r="F113" s="5" t="s">
        <v>16</v>
      </c>
      <c r="G113" s="5" t="s">
        <v>17</v>
      </c>
      <c r="H113" s="5" t="s">
        <v>23</v>
      </c>
      <c r="I113" s="5">
        <v>1943.19</v>
      </c>
      <c r="J113" s="5">
        <v>6</v>
      </c>
      <c r="K113" s="5">
        <v>0.1</v>
      </c>
      <c r="L113" s="5">
        <v>258.93</v>
      </c>
      <c r="M113" s="5" t="s">
        <v>37</v>
      </c>
    </row>
    <row r="114" spans="1:13" hidden="1" x14ac:dyDescent="0.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 hidden="1" x14ac:dyDescent="0.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 hidden="1" x14ac:dyDescent="0.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 ht="15.6" x14ac:dyDescent="0.3">
      <c r="A117" s="5" t="s">
        <v>606</v>
      </c>
      <c r="B117" s="6">
        <v>41788</v>
      </c>
      <c r="C117" s="6">
        <v>41791</v>
      </c>
      <c r="D117" s="5" t="s">
        <v>607</v>
      </c>
      <c r="E117" s="5" t="s">
        <v>322</v>
      </c>
      <c r="F117" s="5" t="s">
        <v>142</v>
      </c>
      <c r="G117" s="5" t="s">
        <v>17</v>
      </c>
      <c r="H117" s="5" t="s">
        <v>151</v>
      </c>
      <c r="I117" s="5">
        <v>3181.7718</v>
      </c>
      <c r="J117" s="5">
        <v>6</v>
      </c>
      <c r="K117" s="5">
        <v>0.17</v>
      </c>
      <c r="L117" s="5">
        <v>344.97179999999901</v>
      </c>
      <c r="M117" s="5" t="s">
        <v>19</v>
      </c>
    </row>
    <row r="118" spans="1:13" ht="15.6" x14ac:dyDescent="0.3">
      <c r="A118" s="5" t="s">
        <v>532</v>
      </c>
      <c r="B118" s="6">
        <v>42259</v>
      </c>
      <c r="C118" s="6">
        <v>42261</v>
      </c>
      <c r="D118" s="5" t="s">
        <v>183</v>
      </c>
      <c r="E118" s="5" t="s">
        <v>211</v>
      </c>
      <c r="F118" s="5" t="s">
        <v>98</v>
      </c>
      <c r="G118" s="5" t="s">
        <v>17</v>
      </c>
      <c r="H118" s="5" t="s">
        <v>46</v>
      </c>
      <c r="I118" s="5">
        <v>2120.5</v>
      </c>
      <c r="J118" s="5">
        <v>5</v>
      </c>
      <c r="K118" s="5">
        <v>0</v>
      </c>
      <c r="L118" s="5">
        <v>106</v>
      </c>
      <c r="M118" s="5" t="s">
        <v>27</v>
      </c>
    </row>
    <row r="119" spans="1:13" ht="15.6" x14ac:dyDescent="0.3">
      <c r="A119" s="5" t="s">
        <v>343</v>
      </c>
      <c r="B119" s="6">
        <v>41878</v>
      </c>
      <c r="C119" s="6">
        <v>41880</v>
      </c>
      <c r="D119" s="5" t="s">
        <v>344</v>
      </c>
      <c r="E119" s="5" t="s">
        <v>15</v>
      </c>
      <c r="F119" s="5" t="s">
        <v>16</v>
      </c>
      <c r="G119" s="5" t="s">
        <v>32</v>
      </c>
      <c r="H119" s="5" t="s">
        <v>33</v>
      </c>
      <c r="I119" s="5">
        <v>2760.3449999999998</v>
      </c>
      <c r="J119" s="5">
        <v>7</v>
      </c>
      <c r="K119" s="5">
        <v>0.1</v>
      </c>
      <c r="L119" s="5">
        <v>-214.72499999999999</v>
      </c>
      <c r="M119" s="5" t="s">
        <v>37</v>
      </c>
    </row>
    <row r="120" spans="1:13" ht="15.6" x14ac:dyDescent="0.3">
      <c r="A120" s="5" t="s">
        <v>500</v>
      </c>
      <c r="B120" s="6">
        <v>41218</v>
      </c>
      <c r="C120" s="6">
        <v>41220</v>
      </c>
      <c r="D120" s="5" t="s">
        <v>501</v>
      </c>
      <c r="E120" s="5" t="s">
        <v>70</v>
      </c>
      <c r="F120" s="5" t="s">
        <v>71</v>
      </c>
      <c r="G120" s="5" t="s">
        <v>17</v>
      </c>
      <c r="H120" s="5" t="s">
        <v>151</v>
      </c>
      <c r="I120" s="5">
        <v>1320.0074999999999</v>
      </c>
      <c r="J120" s="5">
        <v>5</v>
      </c>
      <c r="K120" s="5">
        <v>0.15</v>
      </c>
      <c r="L120" s="5">
        <v>357.15750000000003</v>
      </c>
      <c r="M120" s="5" t="s">
        <v>27</v>
      </c>
    </row>
    <row r="121" spans="1:13" ht="15.6" x14ac:dyDescent="0.3">
      <c r="A121" s="5" t="s">
        <v>13</v>
      </c>
      <c r="B121" s="6">
        <v>41929</v>
      </c>
      <c r="C121" s="6">
        <v>41930</v>
      </c>
      <c r="D121" s="5" t="s">
        <v>14</v>
      </c>
      <c r="E121" s="5" t="s">
        <v>15</v>
      </c>
      <c r="F121" s="5" t="s">
        <v>16</v>
      </c>
      <c r="G121" s="5" t="s">
        <v>17</v>
      </c>
      <c r="H121" s="5" t="s">
        <v>18</v>
      </c>
      <c r="I121" s="5">
        <v>5175.1710000000003</v>
      </c>
      <c r="J121" s="5">
        <v>9</v>
      </c>
      <c r="K121" s="5">
        <v>0.1</v>
      </c>
      <c r="L121" s="5">
        <v>919.97099999999898</v>
      </c>
      <c r="M121" s="5" t="s">
        <v>19</v>
      </c>
    </row>
    <row r="122" spans="1:13" ht="15.6" x14ac:dyDescent="0.3">
      <c r="A122" s="5" t="s">
        <v>417</v>
      </c>
      <c r="B122" s="5" t="s">
        <v>421</v>
      </c>
      <c r="C122" s="6">
        <v>42302</v>
      </c>
      <c r="D122" s="5" t="s">
        <v>422</v>
      </c>
      <c r="E122" s="5" t="s">
        <v>40</v>
      </c>
      <c r="F122" s="5" t="s">
        <v>111</v>
      </c>
      <c r="G122" s="5" t="s">
        <v>32</v>
      </c>
      <c r="H122" s="5" t="s">
        <v>46</v>
      </c>
      <c r="I122" s="5">
        <v>210.68</v>
      </c>
      <c r="J122" s="5">
        <v>2</v>
      </c>
      <c r="K122" s="5">
        <v>0</v>
      </c>
      <c r="L122" s="5">
        <v>50.563199999999902</v>
      </c>
      <c r="M122" s="5" t="s">
        <v>27</v>
      </c>
    </row>
    <row r="123" spans="1:13" ht="15.6" x14ac:dyDescent="0.3">
      <c r="A123" s="5" t="s">
        <v>137</v>
      </c>
      <c r="B123" s="6">
        <v>40918</v>
      </c>
      <c r="C123" s="6">
        <v>41214</v>
      </c>
      <c r="D123" s="5" t="s">
        <v>138</v>
      </c>
      <c r="E123" s="5" t="s">
        <v>15</v>
      </c>
      <c r="F123" s="5" t="s">
        <v>16</v>
      </c>
      <c r="G123" s="5" t="s">
        <v>17</v>
      </c>
      <c r="H123" s="5" t="s">
        <v>127</v>
      </c>
      <c r="I123" s="5">
        <v>2875.0949999999998</v>
      </c>
      <c r="J123" s="5">
        <v>5</v>
      </c>
      <c r="K123" s="5">
        <v>0.1</v>
      </c>
      <c r="L123" s="5">
        <v>511.094999999999</v>
      </c>
      <c r="M123" s="5" t="s">
        <v>19</v>
      </c>
    </row>
    <row r="124" spans="1:13" ht="15.6" x14ac:dyDescent="0.3">
      <c r="A124" s="5" t="s">
        <v>540</v>
      </c>
      <c r="B124" s="6">
        <v>42315</v>
      </c>
      <c r="C124" s="7">
        <v>42317</v>
      </c>
      <c r="D124" s="5" t="s">
        <v>541</v>
      </c>
      <c r="E124" s="5" t="s">
        <v>141</v>
      </c>
      <c r="F124" s="5" t="s">
        <v>142</v>
      </c>
      <c r="G124" s="5" t="s">
        <v>45</v>
      </c>
      <c r="H124" s="5" t="s">
        <v>151</v>
      </c>
      <c r="I124" s="5">
        <v>3309.2597999999998</v>
      </c>
      <c r="J124" s="5">
        <v>7</v>
      </c>
      <c r="K124" s="5">
        <v>0.17</v>
      </c>
      <c r="L124" s="5">
        <v>318.85979999999898</v>
      </c>
      <c r="M124" s="5" t="s">
        <v>37</v>
      </c>
    </row>
    <row r="125" spans="1:13" ht="15.6" x14ac:dyDescent="0.3">
      <c r="A125" s="5" t="s">
        <v>425</v>
      </c>
      <c r="B125" s="6">
        <v>41066</v>
      </c>
      <c r="C125" s="6">
        <v>41070</v>
      </c>
      <c r="D125" s="5" t="s">
        <v>426</v>
      </c>
      <c r="E125" s="5" t="s">
        <v>15</v>
      </c>
      <c r="F125" s="5" t="s">
        <v>16</v>
      </c>
      <c r="G125" s="5" t="s">
        <v>45</v>
      </c>
      <c r="H125" s="5" t="s">
        <v>73</v>
      </c>
      <c r="I125" s="5">
        <v>4624.29</v>
      </c>
      <c r="J125" s="5">
        <v>9</v>
      </c>
      <c r="K125" s="5">
        <v>0.1</v>
      </c>
      <c r="L125" s="5">
        <v>1644.03</v>
      </c>
      <c r="M125" s="5" t="s">
        <v>19</v>
      </c>
    </row>
    <row r="126" spans="1:13" ht="15.6" x14ac:dyDescent="0.3">
      <c r="A126" s="5" t="s">
        <v>356</v>
      </c>
      <c r="B126" s="6">
        <v>42103</v>
      </c>
      <c r="C126" s="6">
        <v>42107</v>
      </c>
      <c r="D126" s="5" t="s">
        <v>357</v>
      </c>
      <c r="E126" s="5" t="s">
        <v>358</v>
      </c>
      <c r="F126" s="5" t="s">
        <v>98</v>
      </c>
      <c r="G126" s="5" t="s">
        <v>32</v>
      </c>
      <c r="H126" s="5" t="s">
        <v>26</v>
      </c>
      <c r="I126" s="5">
        <v>3117.0879999999902</v>
      </c>
      <c r="J126" s="5">
        <v>13</v>
      </c>
      <c r="K126" s="5">
        <v>0.2</v>
      </c>
      <c r="L126" s="5">
        <v>38.948</v>
      </c>
      <c r="M126" s="5" t="s">
        <v>37</v>
      </c>
    </row>
    <row r="127" spans="1:13" ht="15.6" x14ac:dyDescent="0.3">
      <c r="A127" s="5" t="s">
        <v>277</v>
      </c>
      <c r="B127" s="6">
        <v>41999</v>
      </c>
      <c r="C127" s="6">
        <v>41999</v>
      </c>
      <c r="D127" s="5" t="s">
        <v>278</v>
      </c>
      <c r="E127" s="5" t="s">
        <v>15</v>
      </c>
      <c r="F127" s="5" t="s">
        <v>16</v>
      </c>
      <c r="G127" s="5" t="s">
        <v>45</v>
      </c>
      <c r="H127" s="5" t="s">
        <v>44</v>
      </c>
      <c r="I127" s="5">
        <v>3739.1759999999899</v>
      </c>
      <c r="J127" s="5">
        <v>8</v>
      </c>
      <c r="K127" s="5">
        <v>0.1</v>
      </c>
      <c r="L127" s="5">
        <v>747.81600000000003</v>
      </c>
      <c r="M127" s="5" t="s">
        <v>37</v>
      </c>
    </row>
    <row r="128" spans="1:13" hidden="1" x14ac:dyDescent="0.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 ht="15.6" x14ac:dyDescent="0.3">
      <c r="A129" s="5" t="s">
        <v>349</v>
      </c>
      <c r="B129" s="6">
        <v>41171</v>
      </c>
      <c r="C129" s="5" t="s">
        <v>350</v>
      </c>
      <c r="D129" s="5" t="s">
        <v>278</v>
      </c>
      <c r="E129" s="5" t="s">
        <v>22</v>
      </c>
      <c r="F129" s="5" t="s">
        <v>71</v>
      </c>
      <c r="G129" s="5" t="s">
        <v>17</v>
      </c>
      <c r="H129" s="5" t="s">
        <v>73</v>
      </c>
      <c r="I129" s="5">
        <v>3616.5</v>
      </c>
      <c r="J129" s="5">
        <v>10</v>
      </c>
      <c r="K129" s="5">
        <v>0</v>
      </c>
      <c r="L129" s="5">
        <v>36</v>
      </c>
      <c r="M129" s="5" t="s">
        <v>27</v>
      </c>
    </row>
    <row r="130" spans="1:13" hidden="1" x14ac:dyDescent="0.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 hidden="1" x14ac:dyDescent="0.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 ht="15.6" x14ac:dyDescent="0.3">
      <c r="A132" s="5" t="s">
        <v>195</v>
      </c>
      <c r="B132" s="6">
        <v>42345</v>
      </c>
      <c r="C132" s="6">
        <v>42228</v>
      </c>
      <c r="D132" s="5" t="s">
        <v>196</v>
      </c>
      <c r="E132" s="5" t="s">
        <v>197</v>
      </c>
      <c r="F132" s="5" t="s">
        <v>77</v>
      </c>
      <c r="G132" s="5" t="s">
        <v>32</v>
      </c>
      <c r="H132" s="5" t="s">
        <v>23</v>
      </c>
      <c r="I132" s="5">
        <v>2188.0500000000002</v>
      </c>
      <c r="J132" s="5">
        <v>5</v>
      </c>
      <c r="K132" s="5">
        <v>0</v>
      </c>
      <c r="L132" s="5">
        <v>1050.1500000000001</v>
      </c>
      <c r="M132" s="5" t="s">
        <v>37</v>
      </c>
    </row>
    <row r="133" spans="1:13" ht="15.6" x14ac:dyDescent="0.3">
      <c r="A133" s="5" t="s">
        <v>465</v>
      </c>
      <c r="B133" s="6">
        <v>42308</v>
      </c>
      <c r="C133" s="6">
        <v>42311</v>
      </c>
      <c r="D133" s="5" t="s">
        <v>196</v>
      </c>
      <c r="E133" s="5" t="s">
        <v>66</v>
      </c>
      <c r="F133" s="5" t="s">
        <v>90</v>
      </c>
      <c r="G133" s="5" t="s">
        <v>17</v>
      </c>
      <c r="H133" s="5" t="s">
        <v>151</v>
      </c>
      <c r="I133" s="5">
        <v>2272.86</v>
      </c>
      <c r="J133" s="5">
        <v>6</v>
      </c>
      <c r="K133" s="5">
        <v>0</v>
      </c>
      <c r="L133" s="5">
        <v>977.22</v>
      </c>
      <c r="M133" s="5" t="s">
        <v>37</v>
      </c>
    </row>
    <row r="134" spans="1:13" hidden="1" x14ac:dyDescent="0.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 ht="15.6" x14ac:dyDescent="0.3">
      <c r="A135" s="5" t="s">
        <v>124</v>
      </c>
      <c r="B135" s="5" t="s">
        <v>125</v>
      </c>
      <c r="C135" s="6">
        <v>41217</v>
      </c>
      <c r="D135" s="5" t="s">
        <v>126</v>
      </c>
      <c r="E135" s="5" t="s">
        <v>15</v>
      </c>
      <c r="F135" s="5" t="s">
        <v>16</v>
      </c>
      <c r="G135" s="5" t="s">
        <v>45</v>
      </c>
      <c r="H135" s="5" t="s">
        <v>127</v>
      </c>
      <c r="I135" s="5">
        <v>2526.9299999999998</v>
      </c>
      <c r="J135" s="5">
        <v>5</v>
      </c>
      <c r="K135" s="5">
        <v>0.1</v>
      </c>
      <c r="L135" s="5">
        <v>561.48</v>
      </c>
      <c r="M135" s="5" t="s">
        <v>27</v>
      </c>
    </row>
    <row r="136" spans="1:13" hidden="1" x14ac:dyDescent="0.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 hidden="1" x14ac:dyDescent="0.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 hidden="1" x14ac:dyDescent="0.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 hidden="1" x14ac:dyDescent="0.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 ht="15.6" x14ac:dyDescent="0.3">
      <c r="A140" s="5" t="s">
        <v>231</v>
      </c>
      <c r="B140" s="6">
        <v>42305</v>
      </c>
      <c r="C140" s="6">
        <v>42307</v>
      </c>
      <c r="D140" s="5" t="s">
        <v>126</v>
      </c>
      <c r="E140" s="5" t="s">
        <v>232</v>
      </c>
      <c r="F140" s="5" t="s">
        <v>233</v>
      </c>
      <c r="G140" s="5" t="s">
        <v>17</v>
      </c>
      <c r="H140" s="5" t="s">
        <v>23</v>
      </c>
      <c r="I140" s="5">
        <v>5301.24</v>
      </c>
      <c r="J140" s="5">
        <v>14</v>
      </c>
      <c r="K140" s="5">
        <v>0</v>
      </c>
      <c r="L140" s="5">
        <v>2597.2800000000002</v>
      </c>
      <c r="M140" s="5" t="s">
        <v>19</v>
      </c>
    </row>
    <row r="141" spans="1:13" hidden="1" x14ac:dyDescent="0.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 ht="15.6" x14ac:dyDescent="0.3">
      <c r="A142" s="5" t="s">
        <v>191</v>
      </c>
      <c r="B142" s="6">
        <v>42022</v>
      </c>
      <c r="C142" s="6">
        <v>42027</v>
      </c>
      <c r="D142" s="5" t="s">
        <v>192</v>
      </c>
      <c r="E142" s="5" t="s">
        <v>66</v>
      </c>
      <c r="F142" s="5" t="s">
        <v>90</v>
      </c>
      <c r="G142" s="5" t="s">
        <v>32</v>
      </c>
      <c r="H142" s="5" t="s">
        <v>26</v>
      </c>
      <c r="I142" s="5">
        <v>5048.99999999999</v>
      </c>
      <c r="J142" s="5">
        <v>11</v>
      </c>
      <c r="K142" s="5">
        <v>0</v>
      </c>
      <c r="L142" s="5">
        <v>3799.5593480469101</v>
      </c>
      <c r="M142" s="5" t="s">
        <v>37</v>
      </c>
    </row>
    <row r="143" spans="1:13" ht="15.6" x14ac:dyDescent="0.3">
      <c r="A143" s="5" t="s">
        <v>396</v>
      </c>
      <c r="B143" s="6">
        <v>42202</v>
      </c>
      <c r="C143" s="6">
        <v>42204</v>
      </c>
      <c r="D143" s="5" t="s">
        <v>397</v>
      </c>
      <c r="E143" s="5" t="s">
        <v>398</v>
      </c>
      <c r="F143" s="5" t="s">
        <v>87</v>
      </c>
      <c r="G143" s="5" t="s">
        <v>45</v>
      </c>
      <c r="H143" s="5" t="s">
        <v>18</v>
      </c>
      <c r="I143" s="5">
        <v>3146.3999999999901</v>
      </c>
      <c r="J143" s="5">
        <v>6</v>
      </c>
      <c r="K143" s="5">
        <v>0</v>
      </c>
      <c r="L143" s="5">
        <v>629.28</v>
      </c>
      <c r="M143" s="5" t="s">
        <v>27</v>
      </c>
    </row>
    <row r="144" spans="1:13" ht="15.6" x14ac:dyDescent="0.3">
      <c r="A144" s="5" t="s">
        <v>283</v>
      </c>
      <c r="B144" s="6">
        <v>41369</v>
      </c>
      <c r="C144" s="6">
        <v>41369</v>
      </c>
      <c r="D144" s="5" t="s">
        <v>284</v>
      </c>
      <c r="E144" s="5" t="s">
        <v>22</v>
      </c>
      <c r="F144" s="5" t="s">
        <v>71</v>
      </c>
      <c r="G144" s="5" t="s">
        <v>17</v>
      </c>
      <c r="H144" s="5" t="s">
        <v>23</v>
      </c>
      <c r="I144" s="5">
        <v>2875.77</v>
      </c>
      <c r="J144" s="5">
        <v>9</v>
      </c>
      <c r="K144" s="5">
        <v>0.5</v>
      </c>
      <c r="L144" s="5">
        <v>-1783.08</v>
      </c>
      <c r="M144" s="5" t="s">
        <v>37</v>
      </c>
    </row>
    <row r="145" spans="1:13" hidden="1" x14ac:dyDescent="0.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 ht="15.6" x14ac:dyDescent="0.3">
      <c r="A146" s="5" t="s">
        <v>308</v>
      </c>
      <c r="B146" s="6">
        <v>42357</v>
      </c>
      <c r="C146" s="6">
        <v>42358</v>
      </c>
      <c r="D146" s="5" t="s">
        <v>309</v>
      </c>
      <c r="E146" s="5" t="s">
        <v>310</v>
      </c>
      <c r="F146" s="5" t="s">
        <v>142</v>
      </c>
      <c r="G146" s="5" t="s">
        <v>17</v>
      </c>
      <c r="H146" s="5" t="s">
        <v>33</v>
      </c>
      <c r="I146" s="5">
        <v>1954.17</v>
      </c>
      <c r="J146" s="5">
        <v>3</v>
      </c>
      <c r="K146" s="5">
        <v>0</v>
      </c>
      <c r="L146" s="5">
        <v>312.659999999999</v>
      </c>
      <c r="M146" s="5" t="s">
        <v>27</v>
      </c>
    </row>
    <row r="147" spans="1:13" hidden="1" x14ac:dyDescent="0.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 ht="15.6" x14ac:dyDescent="0.3">
      <c r="A148" s="5" t="s">
        <v>154</v>
      </c>
      <c r="B148" s="6">
        <v>41706</v>
      </c>
      <c r="C148" s="6">
        <v>41854</v>
      </c>
      <c r="D148" s="5" t="s">
        <v>155</v>
      </c>
      <c r="E148" s="5" t="s">
        <v>70</v>
      </c>
      <c r="F148" s="5" t="s">
        <v>71</v>
      </c>
      <c r="G148" s="5" t="s">
        <v>32</v>
      </c>
      <c r="H148" s="5" t="s">
        <v>73</v>
      </c>
      <c r="I148" s="5">
        <v>2092.49999999999</v>
      </c>
      <c r="J148" s="5">
        <v>5</v>
      </c>
      <c r="K148" s="5">
        <v>0.1</v>
      </c>
      <c r="L148" s="5">
        <v>720.74999999999898</v>
      </c>
      <c r="M148" s="5" t="s">
        <v>27</v>
      </c>
    </row>
    <row r="149" spans="1:13" hidden="1" x14ac:dyDescent="0.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 hidden="1" x14ac:dyDescent="0.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 hidden="1" x14ac:dyDescent="0.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 ht="15.6" x14ac:dyDescent="0.3">
      <c r="A152" s="5" t="s">
        <v>491</v>
      </c>
      <c r="B152" s="6">
        <v>41487</v>
      </c>
      <c r="C152" s="6">
        <v>41492</v>
      </c>
      <c r="D152" s="5" t="s">
        <v>492</v>
      </c>
      <c r="E152" s="5" t="s">
        <v>93</v>
      </c>
      <c r="F152" s="5" t="s">
        <v>94</v>
      </c>
      <c r="G152" s="5" t="s">
        <v>45</v>
      </c>
      <c r="H152" s="5" t="s">
        <v>73</v>
      </c>
      <c r="I152" s="5">
        <v>3979.29</v>
      </c>
      <c r="J152" s="5">
        <v>7</v>
      </c>
      <c r="K152" s="5">
        <v>0</v>
      </c>
      <c r="L152" s="5">
        <v>1989.53999999999</v>
      </c>
      <c r="M152" s="5" t="s">
        <v>19</v>
      </c>
    </row>
    <row r="153" spans="1:13" ht="15.6" x14ac:dyDescent="0.3">
      <c r="A153" s="5" t="s">
        <v>404</v>
      </c>
      <c r="B153" s="6">
        <v>42245</v>
      </c>
      <c r="C153" s="6">
        <v>42250</v>
      </c>
      <c r="D153" s="5" t="s">
        <v>405</v>
      </c>
      <c r="E153" s="5" t="s">
        <v>70</v>
      </c>
      <c r="F153" s="5" t="s">
        <v>71</v>
      </c>
      <c r="G153" s="5" t="s">
        <v>17</v>
      </c>
      <c r="H153" s="5" t="s">
        <v>33</v>
      </c>
      <c r="I153" s="5">
        <v>4876.875</v>
      </c>
      <c r="J153" s="5">
        <v>9</v>
      </c>
      <c r="K153" s="5">
        <v>0.15</v>
      </c>
      <c r="L153" s="5">
        <v>745.875</v>
      </c>
      <c r="M153" s="5" t="s">
        <v>19</v>
      </c>
    </row>
    <row r="154" spans="1:13" ht="15.6" x14ac:dyDescent="0.3">
      <c r="A154" s="5" t="s">
        <v>200</v>
      </c>
      <c r="B154" s="6">
        <v>42328</v>
      </c>
      <c r="C154" s="6">
        <v>42328</v>
      </c>
      <c r="D154" s="5" t="s">
        <v>201</v>
      </c>
      <c r="E154" s="5" t="s">
        <v>97</v>
      </c>
      <c r="F154" s="5" t="s">
        <v>98</v>
      </c>
      <c r="G154" s="5" t="s">
        <v>17</v>
      </c>
      <c r="H154" s="5" t="s">
        <v>151</v>
      </c>
      <c r="I154" s="5">
        <v>1704</v>
      </c>
      <c r="J154" s="5">
        <v>4</v>
      </c>
      <c r="K154" s="5">
        <v>0</v>
      </c>
      <c r="L154" s="5">
        <v>119.28</v>
      </c>
      <c r="M154" s="5" t="s">
        <v>27</v>
      </c>
    </row>
    <row r="155" spans="1:13" ht="15.6" x14ac:dyDescent="0.3">
      <c r="A155" s="5" t="s">
        <v>321</v>
      </c>
      <c r="B155" s="6">
        <v>41502</v>
      </c>
      <c r="C155" s="6">
        <v>41502</v>
      </c>
      <c r="D155" s="5" t="s">
        <v>201</v>
      </c>
      <c r="E155" s="5" t="s">
        <v>322</v>
      </c>
      <c r="F155" s="5" t="s">
        <v>142</v>
      </c>
      <c r="G155" s="5" t="s">
        <v>17</v>
      </c>
      <c r="H155" s="5" t="s">
        <v>18</v>
      </c>
      <c r="I155" s="5">
        <v>3741.5237999999899</v>
      </c>
      <c r="J155" s="5">
        <v>7</v>
      </c>
      <c r="K155" s="5">
        <v>0.17</v>
      </c>
      <c r="L155" s="5">
        <v>946.63379999999904</v>
      </c>
      <c r="M155" s="5" t="s">
        <v>37</v>
      </c>
    </row>
    <row r="156" spans="1:13" ht="15.6" x14ac:dyDescent="0.3">
      <c r="A156" s="5" t="s">
        <v>578</v>
      </c>
      <c r="B156" s="7">
        <v>41628</v>
      </c>
      <c r="C156" s="6">
        <v>41632</v>
      </c>
      <c r="D156" s="5" t="s">
        <v>270</v>
      </c>
      <c r="E156" s="5" t="s">
        <v>579</v>
      </c>
      <c r="F156" s="5" t="s">
        <v>98</v>
      </c>
      <c r="G156" s="5" t="s">
        <v>17</v>
      </c>
      <c r="H156" s="5" t="s">
        <v>33</v>
      </c>
      <c r="I156" s="5">
        <v>3474.08</v>
      </c>
      <c r="J156" s="5">
        <v>8</v>
      </c>
      <c r="K156" s="5">
        <v>0</v>
      </c>
      <c r="L156" s="5">
        <v>625.28</v>
      </c>
      <c r="M156" s="5" t="s">
        <v>37</v>
      </c>
    </row>
    <row r="157" spans="1:13" ht="15.6" x14ac:dyDescent="0.3">
      <c r="A157" s="5" t="s">
        <v>313</v>
      </c>
      <c r="B157" s="6">
        <v>42265</v>
      </c>
      <c r="C157" s="6">
        <v>42265</v>
      </c>
      <c r="D157" s="5" t="s">
        <v>314</v>
      </c>
      <c r="E157" s="5" t="s">
        <v>315</v>
      </c>
      <c r="F157" s="5" t="s">
        <v>61</v>
      </c>
      <c r="G157" s="5" t="s">
        <v>17</v>
      </c>
      <c r="H157" s="5" t="s">
        <v>33</v>
      </c>
      <c r="I157" s="5">
        <v>1213.18876</v>
      </c>
      <c r="J157" s="5">
        <v>7</v>
      </c>
      <c r="K157" s="5">
        <v>2E-3</v>
      </c>
      <c r="L157" s="5">
        <v>508.00876</v>
      </c>
      <c r="M157" s="5" t="s">
        <v>27</v>
      </c>
    </row>
    <row r="158" spans="1:13" ht="15.6" x14ac:dyDescent="0.3">
      <c r="A158" s="5" t="s">
        <v>506</v>
      </c>
      <c r="B158" s="6">
        <v>42260</v>
      </c>
      <c r="C158" s="5" t="s">
        <v>125</v>
      </c>
      <c r="D158" s="5" t="s">
        <v>507</v>
      </c>
      <c r="E158" s="5" t="s">
        <v>15</v>
      </c>
      <c r="F158" s="5" t="s">
        <v>16</v>
      </c>
      <c r="G158" s="5" t="s">
        <v>17</v>
      </c>
      <c r="H158" s="5" t="s">
        <v>127</v>
      </c>
      <c r="I158" s="5">
        <v>4448.223</v>
      </c>
      <c r="J158" s="5">
        <v>13</v>
      </c>
      <c r="K158" s="5">
        <v>0.1</v>
      </c>
      <c r="L158" s="5">
        <v>444.483</v>
      </c>
      <c r="M158" s="5" t="s">
        <v>19</v>
      </c>
    </row>
    <row r="159" spans="1:13" ht="15.6" x14ac:dyDescent="0.3">
      <c r="A159" s="5" t="s">
        <v>556</v>
      </c>
      <c r="B159" s="6">
        <v>42003</v>
      </c>
      <c r="C159" s="6">
        <v>42008</v>
      </c>
      <c r="D159" s="5" t="s">
        <v>557</v>
      </c>
      <c r="E159" s="5" t="s">
        <v>558</v>
      </c>
      <c r="F159" s="5" t="s">
        <v>438</v>
      </c>
      <c r="G159" s="5" t="s">
        <v>17</v>
      </c>
      <c r="H159" s="5" t="s">
        <v>33</v>
      </c>
      <c r="I159" s="5">
        <v>3799.08</v>
      </c>
      <c r="J159" s="5">
        <v>12</v>
      </c>
      <c r="K159" s="5">
        <v>0</v>
      </c>
      <c r="L159" s="5">
        <v>455.76</v>
      </c>
      <c r="M159" s="5" t="s">
        <v>19</v>
      </c>
    </row>
    <row r="160" spans="1:13" ht="15.6" x14ac:dyDescent="0.3">
      <c r="A160" s="5" t="s">
        <v>147</v>
      </c>
      <c r="B160" s="6">
        <v>41621</v>
      </c>
      <c r="C160" s="6">
        <v>41625</v>
      </c>
      <c r="D160" s="5" t="s">
        <v>148</v>
      </c>
      <c r="E160" s="5" t="s">
        <v>93</v>
      </c>
      <c r="F160" s="5" t="s">
        <v>94</v>
      </c>
      <c r="G160" s="5" t="s">
        <v>17</v>
      </c>
      <c r="H160" s="5" t="s">
        <v>26</v>
      </c>
      <c r="I160" s="5">
        <v>5785.0199999999904</v>
      </c>
      <c r="J160" s="5">
        <v>9</v>
      </c>
      <c r="K160" s="5">
        <v>0</v>
      </c>
      <c r="L160" s="5">
        <v>404.73</v>
      </c>
      <c r="M160" s="5" t="s">
        <v>37</v>
      </c>
    </row>
    <row r="161" spans="1:13" hidden="1" x14ac:dyDescent="0.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 ht="15.6" x14ac:dyDescent="0.3">
      <c r="A162" s="5" t="s">
        <v>177</v>
      </c>
      <c r="B162" s="6">
        <v>41419</v>
      </c>
      <c r="C162" s="6">
        <v>41422</v>
      </c>
      <c r="D162" s="5" t="s">
        <v>178</v>
      </c>
      <c r="E162" s="5" t="s">
        <v>114</v>
      </c>
      <c r="F162" s="5" t="s">
        <v>115</v>
      </c>
      <c r="G162" s="5" t="s">
        <v>179</v>
      </c>
      <c r="H162" s="5" t="s">
        <v>33</v>
      </c>
      <c r="I162" s="5">
        <v>1745.34</v>
      </c>
      <c r="J162" s="5">
        <v>2</v>
      </c>
      <c r="K162" s="5">
        <v>0</v>
      </c>
      <c r="L162" s="5">
        <v>226.86</v>
      </c>
      <c r="M162" s="5" t="s">
        <v>27</v>
      </c>
    </row>
    <row r="163" spans="1:13" hidden="1" x14ac:dyDescent="0.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 hidden="1" x14ac:dyDescent="0.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 ht="15.6" x14ac:dyDescent="0.3">
      <c r="A165" s="5" t="s">
        <v>243</v>
      </c>
      <c r="B165" s="6">
        <v>41419</v>
      </c>
      <c r="C165" s="6">
        <v>41422</v>
      </c>
      <c r="D165" s="5" t="s">
        <v>178</v>
      </c>
      <c r="E165" s="5" t="s">
        <v>114</v>
      </c>
      <c r="F165" s="5" t="s">
        <v>115</v>
      </c>
      <c r="G165" s="5" t="s">
        <v>17</v>
      </c>
      <c r="H165" s="5" t="s">
        <v>151</v>
      </c>
      <c r="I165" s="5">
        <v>1916.73</v>
      </c>
      <c r="J165" s="5">
        <v>3</v>
      </c>
      <c r="K165" s="5">
        <v>0</v>
      </c>
      <c r="L165" s="5">
        <v>498.32999999999902</v>
      </c>
      <c r="M165" s="5" t="s">
        <v>27</v>
      </c>
    </row>
    <row r="166" spans="1:13" hidden="1" x14ac:dyDescent="0.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 ht="15.6" x14ac:dyDescent="0.3">
      <c r="A167" s="5" t="s">
        <v>533</v>
      </c>
      <c r="B167" s="7">
        <v>42111</v>
      </c>
      <c r="C167" s="6">
        <v>42111</v>
      </c>
      <c r="D167" s="5" t="s">
        <v>534</v>
      </c>
      <c r="E167" s="5" t="s">
        <v>66</v>
      </c>
      <c r="F167" s="5" t="s">
        <v>90</v>
      </c>
      <c r="G167" s="5" t="s">
        <v>17</v>
      </c>
      <c r="H167" s="5" t="s">
        <v>73</v>
      </c>
      <c r="I167" s="5">
        <v>1275</v>
      </c>
      <c r="J167" s="5">
        <v>2</v>
      </c>
      <c r="K167" s="5">
        <v>0</v>
      </c>
      <c r="L167" s="5">
        <v>140.22</v>
      </c>
      <c r="M167" s="5" t="s">
        <v>27</v>
      </c>
    </row>
    <row r="168" spans="1:13" ht="15.6" x14ac:dyDescent="0.3">
      <c r="A168" s="5" t="s">
        <v>550</v>
      </c>
      <c r="B168" s="6">
        <v>41237</v>
      </c>
      <c r="C168" s="6">
        <v>41237</v>
      </c>
      <c r="D168" s="5" t="s">
        <v>551</v>
      </c>
      <c r="E168" s="5" t="s">
        <v>15</v>
      </c>
      <c r="F168" s="5" t="s">
        <v>16</v>
      </c>
      <c r="G168" s="5" t="s">
        <v>17</v>
      </c>
      <c r="H168" s="5" t="s">
        <v>151</v>
      </c>
      <c r="I168" s="5">
        <v>1336.356</v>
      </c>
      <c r="J168" s="5">
        <v>7</v>
      </c>
      <c r="K168" s="5">
        <v>0.4</v>
      </c>
      <c r="L168" s="5">
        <v>44.436</v>
      </c>
      <c r="M168" s="5" t="s">
        <v>27</v>
      </c>
    </row>
    <row r="169" spans="1:13" hidden="1" x14ac:dyDescent="0.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 ht="15.6" x14ac:dyDescent="0.3">
      <c r="A170" s="5" t="s">
        <v>524</v>
      </c>
      <c r="B170" s="6">
        <v>41903</v>
      </c>
      <c r="C170" s="6">
        <v>41906</v>
      </c>
      <c r="D170" s="5" t="s">
        <v>525</v>
      </c>
      <c r="E170" s="5" t="s">
        <v>60</v>
      </c>
      <c r="F170" s="5" t="s">
        <v>61</v>
      </c>
      <c r="G170" s="5" t="s">
        <v>32</v>
      </c>
      <c r="H170" s="5" t="s">
        <v>44</v>
      </c>
      <c r="I170" s="5">
        <v>1236.47999999999</v>
      </c>
      <c r="J170" s="5">
        <v>4</v>
      </c>
      <c r="K170" s="5">
        <v>0</v>
      </c>
      <c r="L170" s="5">
        <v>111.28</v>
      </c>
      <c r="M170" s="5" t="s">
        <v>27</v>
      </c>
    </row>
    <row r="171" spans="1:13" ht="15.6" x14ac:dyDescent="0.3">
      <c r="A171" s="5" t="s">
        <v>592</v>
      </c>
      <c r="B171" s="5" t="s">
        <v>593</v>
      </c>
      <c r="C171" s="6">
        <v>42111</v>
      </c>
      <c r="D171" s="5" t="s">
        <v>594</v>
      </c>
      <c r="E171" s="5" t="s">
        <v>595</v>
      </c>
      <c r="F171" s="5" t="s">
        <v>25</v>
      </c>
      <c r="G171" s="5" t="s">
        <v>17</v>
      </c>
      <c r="H171" s="5" t="s">
        <v>26</v>
      </c>
      <c r="I171" s="5">
        <v>3908.88</v>
      </c>
      <c r="J171" s="5">
        <v>6</v>
      </c>
      <c r="K171" s="5">
        <v>0</v>
      </c>
      <c r="L171" s="5">
        <v>1563.48</v>
      </c>
      <c r="M171" s="5" t="s">
        <v>596</v>
      </c>
    </row>
    <row r="172" spans="1:13" hidden="1" x14ac:dyDescent="0.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 hidden="1" x14ac:dyDescent="0.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 ht="15.6" x14ac:dyDescent="0.3">
      <c r="A174" s="5" t="s">
        <v>474</v>
      </c>
      <c r="B174" s="6">
        <v>42316</v>
      </c>
      <c r="C174" s="6">
        <v>42318</v>
      </c>
      <c r="D174" s="5" t="s">
        <v>475</v>
      </c>
      <c r="E174" s="5" t="s">
        <v>250</v>
      </c>
      <c r="F174" s="5" t="s">
        <v>142</v>
      </c>
      <c r="G174" s="5" t="s">
        <v>165</v>
      </c>
      <c r="H174" s="5" t="s">
        <v>26</v>
      </c>
      <c r="I174" s="5">
        <v>1538.72099999999</v>
      </c>
      <c r="J174" s="5" t="s">
        <v>63</v>
      </c>
      <c r="K174" s="5">
        <v>0.15</v>
      </c>
      <c r="L174" s="5">
        <v>325.70100000000002</v>
      </c>
      <c r="M174" s="5" t="s">
        <v>37</v>
      </c>
    </row>
    <row r="175" spans="1:13" hidden="1" x14ac:dyDescent="0.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 ht="15.6" x14ac:dyDescent="0.3">
      <c r="A176" s="5" t="s">
        <v>393</v>
      </c>
      <c r="B176" s="6">
        <v>41924</v>
      </c>
      <c r="C176" s="6">
        <v>41924</v>
      </c>
      <c r="D176" s="5" t="s">
        <v>394</v>
      </c>
      <c r="E176" s="5" t="s">
        <v>197</v>
      </c>
      <c r="F176" s="5" t="s">
        <v>77</v>
      </c>
      <c r="G176" s="5" t="s">
        <v>17</v>
      </c>
      <c r="H176" s="5" t="s">
        <v>26</v>
      </c>
      <c r="I176" s="5">
        <v>1549.98</v>
      </c>
      <c r="J176" s="5">
        <v>6</v>
      </c>
      <c r="K176" s="5">
        <v>0</v>
      </c>
      <c r="L176" s="5">
        <v>139.32</v>
      </c>
      <c r="M176" s="5" t="s">
        <v>27</v>
      </c>
    </row>
    <row r="177" spans="1:13" hidden="1" x14ac:dyDescent="0.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 ht="15.6" x14ac:dyDescent="0.3">
      <c r="A178" s="5" t="s">
        <v>88</v>
      </c>
      <c r="B178" s="6">
        <v>41030</v>
      </c>
      <c r="C178" s="6">
        <v>41031</v>
      </c>
      <c r="D178" s="5" t="s">
        <v>89</v>
      </c>
      <c r="E178" s="5" t="s">
        <v>66</v>
      </c>
      <c r="F178" s="5" t="s">
        <v>90</v>
      </c>
      <c r="G178" s="5" t="s">
        <v>32</v>
      </c>
      <c r="H178" s="5" t="s">
        <v>44</v>
      </c>
      <c r="I178" s="5">
        <v>2753.99999999999</v>
      </c>
      <c r="J178" s="5">
        <v>6</v>
      </c>
      <c r="K178" s="5">
        <v>0</v>
      </c>
      <c r="L178" s="5">
        <v>358.02</v>
      </c>
      <c r="M178" s="5" t="s">
        <v>27</v>
      </c>
    </row>
    <row r="179" spans="1:13" hidden="1" x14ac:dyDescent="0.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 ht="15.6" x14ac:dyDescent="0.3">
      <c r="A180" s="5" t="s">
        <v>305</v>
      </c>
      <c r="B180" s="6">
        <v>41984</v>
      </c>
      <c r="C180" s="6">
        <v>41987</v>
      </c>
      <c r="D180" s="5" t="s">
        <v>89</v>
      </c>
      <c r="E180" s="5" t="s">
        <v>15</v>
      </c>
      <c r="F180" s="5" t="s">
        <v>16</v>
      </c>
      <c r="G180" s="5" t="s">
        <v>17</v>
      </c>
      <c r="H180" s="5" t="s">
        <v>127</v>
      </c>
      <c r="I180" s="5">
        <v>1695.87</v>
      </c>
      <c r="J180" s="5">
        <v>5</v>
      </c>
      <c r="K180" s="5">
        <v>0.1</v>
      </c>
      <c r="L180" s="5">
        <v>-37.83</v>
      </c>
      <c r="M180" s="5" t="s">
        <v>27</v>
      </c>
    </row>
    <row r="181" spans="1:13" ht="15.6" x14ac:dyDescent="0.3">
      <c r="A181" s="5" t="s">
        <v>388</v>
      </c>
      <c r="B181" s="6">
        <v>41045</v>
      </c>
      <c r="C181" s="6">
        <v>41048</v>
      </c>
      <c r="D181" s="5" t="s">
        <v>389</v>
      </c>
      <c r="E181" s="5" t="s">
        <v>97</v>
      </c>
      <c r="F181" s="5" t="s">
        <v>98</v>
      </c>
      <c r="G181" s="5" t="s">
        <v>17</v>
      </c>
      <c r="H181" s="5" t="s">
        <v>44</v>
      </c>
      <c r="I181" s="5">
        <v>2124.5</v>
      </c>
      <c r="J181" s="5">
        <v>5</v>
      </c>
      <c r="K181" s="5">
        <v>0</v>
      </c>
      <c r="L181" s="5">
        <v>488.6</v>
      </c>
      <c r="M181" s="5" t="s">
        <v>37</v>
      </c>
    </row>
    <row r="182" spans="1:13" hidden="1" x14ac:dyDescent="0.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 ht="15.6" x14ac:dyDescent="0.3">
      <c r="A183" s="5" t="s">
        <v>28</v>
      </c>
      <c r="B183" s="6">
        <v>41818</v>
      </c>
      <c r="C183" s="6">
        <v>41821</v>
      </c>
      <c r="D183" s="5" t="s">
        <v>29</v>
      </c>
      <c r="E183" s="5" t="s">
        <v>15</v>
      </c>
      <c r="F183" s="5" t="s">
        <v>16</v>
      </c>
      <c r="G183" s="5" t="s">
        <v>17</v>
      </c>
      <c r="H183" s="5" t="s">
        <v>26</v>
      </c>
      <c r="I183" s="5">
        <v>2862.6750000000002</v>
      </c>
      <c r="J183" s="5">
        <v>5</v>
      </c>
      <c r="K183" s="5">
        <v>0.1</v>
      </c>
      <c r="L183" s="5">
        <v>763.27499999999998</v>
      </c>
      <c r="M183" s="5" t="s">
        <v>27</v>
      </c>
    </row>
    <row r="184" spans="1:13" hidden="1" x14ac:dyDescent="0.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 ht="15.6" x14ac:dyDescent="0.3">
      <c r="A185" s="5" t="s">
        <v>160</v>
      </c>
      <c r="B185" s="5" t="s">
        <v>125</v>
      </c>
      <c r="C185" s="6">
        <v>42358</v>
      </c>
      <c r="D185" s="5" t="s">
        <v>161</v>
      </c>
      <c r="E185" s="5" t="s">
        <v>162</v>
      </c>
      <c r="F185" s="5" t="s">
        <v>61</v>
      </c>
      <c r="G185" s="5" t="s">
        <v>32</v>
      </c>
      <c r="H185" s="5" t="s">
        <v>23</v>
      </c>
      <c r="I185" s="5" t="s">
        <v>163</v>
      </c>
      <c r="J185" s="5">
        <v>11</v>
      </c>
      <c r="K185" s="5">
        <v>0</v>
      </c>
      <c r="L185" s="5">
        <v>868.12</v>
      </c>
      <c r="M185" s="5" t="s">
        <v>37</v>
      </c>
    </row>
    <row r="186" spans="1:13" hidden="1" x14ac:dyDescent="0.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 ht="15.6" x14ac:dyDescent="0.3">
      <c r="A187" s="5" t="s">
        <v>219</v>
      </c>
      <c r="B187" s="6">
        <v>42140</v>
      </c>
      <c r="C187" s="6">
        <v>42142</v>
      </c>
      <c r="D187" s="5" t="s">
        <v>161</v>
      </c>
      <c r="E187" s="5" t="s">
        <v>15</v>
      </c>
      <c r="F187" s="5" t="s">
        <v>16</v>
      </c>
      <c r="G187" s="5" t="s">
        <v>17</v>
      </c>
      <c r="H187" s="5" t="s">
        <v>44</v>
      </c>
      <c r="I187" s="5">
        <v>2863.35</v>
      </c>
      <c r="J187" s="5">
        <v>5</v>
      </c>
      <c r="K187" s="5">
        <v>0.1</v>
      </c>
      <c r="L187" s="5">
        <v>858.9</v>
      </c>
      <c r="M187" s="5" t="s">
        <v>220</v>
      </c>
    </row>
    <row r="188" spans="1:13" hidden="1" x14ac:dyDescent="0.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 ht="15.6" x14ac:dyDescent="0.3">
      <c r="A189" s="5" t="s">
        <v>353</v>
      </c>
      <c r="B189" s="6">
        <v>41306</v>
      </c>
      <c r="C189" s="6">
        <v>41309</v>
      </c>
      <c r="D189" s="5" t="s">
        <v>161</v>
      </c>
      <c r="E189" s="5" t="s">
        <v>22</v>
      </c>
      <c r="F189" s="5" t="s">
        <v>71</v>
      </c>
      <c r="G189" s="5" t="s">
        <v>17</v>
      </c>
      <c r="H189" s="5" t="s">
        <v>127</v>
      </c>
      <c r="I189" s="5">
        <v>3263.4</v>
      </c>
      <c r="J189" s="5">
        <v>5</v>
      </c>
      <c r="K189" s="5">
        <v>0</v>
      </c>
      <c r="L189" s="5">
        <v>848.4</v>
      </c>
      <c r="M189" s="5" t="s">
        <v>354</v>
      </c>
    </row>
    <row r="190" spans="1:13" hidden="1" x14ac:dyDescent="0.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 hidden="1" x14ac:dyDescent="0.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 hidden="1" x14ac:dyDescent="0.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 ht="15.6" x14ac:dyDescent="0.3">
      <c r="A193" s="5" t="s">
        <v>494</v>
      </c>
      <c r="B193" s="6">
        <v>41662</v>
      </c>
      <c r="C193" s="6">
        <v>41666</v>
      </c>
      <c r="D193" s="5" t="s">
        <v>467</v>
      </c>
      <c r="E193" s="5" t="s">
        <v>495</v>
      </c>
      <c r="F193" s="5" t="s">
        <v>56</v>
      </c>
      <c r="G193" s="5" t="s">
        <v>32</v>
      </c>
      <c r="H193" s="5" t="s">
        <v>127</v>
      </c>
      <c r="I193" s="5">
        <v>2058</v>
      </c>
      <c r="J193" s="5">
        <v>4</v>
      </c>
      <c r="K193" s="5">
        <v>0</v>
      </c>
      <c r="L193" s="5">
        <v>946.68</v>
      </c>
      <c r="M193" s="5" t="s">
        <v>37</v>
      </c>
    </row>
    <row r="194" spans="1:13" ht="15.6" x14ac:dyDescent="0.3">
      <c r="A194" s="5" t="s">
        <v>139</v>
      </c>
      <c r="B194" s="6">
        <v>41873</v>
      </c>
      <c r="C194" s="6">
        <v>41877</v>
      </c>
      <c r="D194" s="5" t="s">
        <v>140</v>
      </c>
      <c r="E194" s="5" t="s">
        <v>141</v>
      </c>
      <c r="F194" s="5" t="s">
        <v>142</v>
      </c>
      <c r="G194" s="5" t="s">
        <v>17</v>
      </c>
      <c r="H194" s="5" t="s">
        <v>33</v>
      </c>
      <c r="I194" s="5">
        <v>3200.5962</v>
      </c>
      <c r="J194" s="5">
        <v>6</v>
      </c>
      <c r="K194" s="5">
        <v>0.17</v>
      </c>
      <c r="L194" s="5">
        <v>-77.203799999999802</v>
      </c>
      <c r="M194" s="5" t="s">
        <v>37</v>
      </c>
    </row>
    <row r="195" spans="1:13" ht="15.6" x14ac:dyDescent="0.3">
      <c r="A195" s="5" t="s">
        <v>608</v>
      </c>
      <c r="B195" s="6">
        <v>41515</v>
      </c>
      <c r="C195" s="6">
        <v>41518</v>
      </c>
      <c r="D195" s="5" t="s">
        <v>609</v>
      </c>
      <c r="E195" s="5" t="s">
        <v>197</v>
      </c>
      <c r="F195" s="5" t="s">
        <v>77</v>
      </c>
      <c r="G195" s="5" t="s">
        <v>45</v>
      </c>
      <c r="H195" s="5" t="s">
        <v>151</v>
      </c>
      <c r="I195" s="5">
        <v>1392.633</v>
      </c>
      <c r="J195" s="5">
        <v>11</v>
      </c>
      <c r="K195" s="5" t="s">
        <v>610</v>
      </c>
      <c r="L195" s="5">
        <v>-139.55699999999999</v>
      </c>
      <c r="M195" s="5" t="s">
        <v>27</v>
      </c>
    </row>
    <row r="196" spans="1:13" ht="15.6" x14ac:dyDescent="0.3">
      <c r="A196" s="5" t="s">
        <v>502</v>
      </c>
      <c r="B196" s="6">
        <v>42032</v>
      </c>
      <c r="C196" s="6">
        <v>42034</v>
      </c>
      <c r="D196" s="5" t="s">
        <v>503</v>
      </c>
      <c r="E196" s="5" t="s">
        <v>504</v>
      </c>
      <c r="F196" s="5" t="s">
        <v>94</v>
      </c>
      <c r="G196" s="5" t="s">
        <v>32</v>
      </c>
      <c r="H196" s="5" t="s">
        <v>151</v>
      </c>
      <c r="I196" s="5">
        <v>2171.16</v>
      </c>
      <c r="J196" s="5" t="s">
        <v>505</v>
      </c>
      <c r="K196" s="5">
        <v>0.7</v>
      </c>
      <c r="L196" s="5">
        <v>-2750.2799999999902</v>
      </c>
      <c r="M196" s="5" t="s">
        <v>37</v>
      </c>
    </row>
    <row r="197" spans="1:13" ht="15.6" x14ac:dyDescent="0.3">
      <c r="A197" s="5" t="s">
        <v>319</v>
      </c>
      <c r="B197" s="6">
        <v>42204</v>
      </c>
      <c r="C197" s="6">
        <v>42208</v>
      </c>
      <c r="D197" s="5" t="s">
        <v>320</v>
      </c>
      <c r="E197" s="5" t="s">
        <v>141</v>
      </c>
      <c r="F197" s="5" t="s">
        <v>142</v>
      </c>
      <c r="G197" s="5" t="s">
        <v>32</v>
      </c>
      <c r="H197" s="5" t="s">
        <v>33</v>
      </c>
      <c r="I197" s="5">
        <v>3278.5847999999901</v>
      </c>
      <c r="J197" s="5">
        <v>8</v>
      </c>
      <c r="K197" s="5">
        <v>7.0000000000000007E-2</v>
      </c>
      <c r="L197" s="5">
        <v>140.82479999999899</v>
      </c>
      <c r="M197" s="5" t="s">
        <v>37</v>
      </c>
    </row>
    <row r="198" spans="1:13" ht="15.6" x14ac:dyDescent="0.3">
      <c r="A198" s="5" t="s">
        <v>509</v>
      </c>
      <c r="B198" s="6">
        <v>41264</v>
      </c>
      <c r="C198" s="6">
        <v>41266</v>
      </c>
      <c r="D198" s="5" t="s">
        <v>510</v>
      </c>
      <c r="E198" s="5" t="s">
        <v>511</v>
      </c>
      <c r="F198" s="5" t="s">
        <v>61</v>
      </c>
      <c r="G198" s="5" t="s">
        <v>17</v>
      </c>
      <c r="H198" s="5" t="s">
        <v>33</v>
      </c>
      <c r="I198" s="5">
        <v>2300.61599999999</v>
      </c>
      <c r="J198" s="5">
        <v>9</v>
      </c>
      <c r="K198" s="5">
        <v>0.4</v>
      </c>
      <c r="L198" s="5">
        <v>38.196000000000097</v>
      </c>
      <c r="M198" s="5" t="s">
        <v>37</v>
      </c>
    </row>
    <row r="199" spans="1:13" ht="15.6" x14ac:dyDescent="0.3">
      <c r="A199" s="5" t="s">
        <v>542</v>
      </c>
      <c r="B199" s="6">
        <v>42330</v>
      </c>
      <c r="C199" s="5" t="s">
        <v>543</v>
      </c>
      <c r="D199" s="5" t="s">
        <v>544</v>
      </c>
      <c r="E199" s="5" t="s">
        <v>60</v>
      </c>
      <c r="F199" s="5" t="s">
        <v>61</v>
      </c>
      <c r="G199" s="5" t="s">
        <v>179</v>
      </c>
      <c r="H199" s="5" t="s">
        <v>26</v>
      </c>
      <c r="I199" s="5">
        <v>897.48</v>
      </c>
      <c r="J199" s="5">
        <v>9</v>
      </c>
      <c r="K199" s="5">
        <v>0</v>
      </c>
      <c r="L199" s="5">
        <v>322.92</v>
      </c>
      <c r="M199" s="5" t="s">
        <v>27</v>
      </c>
    </row>
    <row r="200" spans="1:13" ht="15.6" x14ac:dyDescent="0.3">
      <c r="A200" s="5" t="s">
        <v>335</v>
      </c>
      <c r="B200" s="6">
        <v>41489</v>
      </c>
      <c r="C200" s="6">
        <v>41494</v>
      </c>
      <c r="D200" s="5" t="s">
        <v>336</v>
      </c>
      <c r="E200" s="5" t="s">
        <v>141</v>
      </c>
      <c r="F200" s="5" t="s">
        <v>142</v>
      </c>
      <c r="G200" s="5" t="s">
        <v>45</v>
      </c>
      <c r="H200" s="5" t="s">
        <v>26</v>
      </c>
      <c r="I200" s="5">
        <v>3501.7367999999901</v>
      </c>
      <c r="J200" s="5">
        <v>8</v>
      </c>
      <c r="K200" s="5">
        <v>0.17</v>
      </c>
      <c r="L200" s="5">
        <v>210.85679999999999</v>
      </c>
      <c r="M200" s="5" t="s">
        <v>37</v>
      </c>
    </row>
    <row r="201" spans="1:13" hidden="1" x14ac:dyDescent="0.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 hidden="1" x14ac:dyDescent="0.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 hidden="1" x14ac:dyDescent="0.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 hidden="1" x14ac:dyDescent="0.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 hidden="1" x14ac:dyDescent="0.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 ht="15.6" x14ac:dyDescent="0.3">
      <c r="A206" s="5" t="s">
        <v>446</v>
      </c>
      <c r="B206" s="6">
        <v>41488</v>
      </c>
      <c r="C206" s="7">
        <v>74361</v>
      </c>
      <c r="D206" s="5" t="s">
        <v>447</v>
      </c>
      <c r="E206" s="5" t="s">
        <v>66</v>
      </c>
      <c r="F206" s="5" t="s">
        <v>90</v>
      </c>
      <c r="G206" s="5" t="s">
        <v>17</v>
      </c>
      <c r="H206" s="5" t="s">
        <v>26</v>
      </c>
      <c r="I206" s="5">
        <v>1521</v>
      </c>
      <c r="J206" s="5">
        <v>4</v>
      </c>
      <c r="K206" s="5">
        <v>0</v>
      </c>
      <c r="L206" s="5">
        <v>0</v>
      </c>
      <c r="M206" s="5" t="s">
        <v>37</v>
      </c>
    </row>
    <row r="207" spans="1:13" hidden="1" x14ac:dyDescent="0.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 ht="15.6" x14ac:dyDescent="0.3">
      <c r="A208" s="5" t="s">
        <v>189</v>
      </c>
      <c r="B208" s="6">
        <v>41882</v>
      </c>
      <c r="C208" s="6">
        <v>41885</v>
      </c>
      <c r="D208" s="5" t="s">
        <v>190</v>
      </c>
      <c r="E208" s="5" t="s">
        <v>22</v>
      </c>
      <c r="F208" s="5" t="s">
        <v>71</v>
      </c>
      <c r="G208" s="5" t="s">
        <v>17</v>
      </c>
      <c r="H208" s="5" t="s">
        <v>127</v>
      </c>
      <c r="I208" s="5">
        <v>1502.01</v>
      </c>
      <c r="J208" s="5">
        <v>9</v>
      </c>
      <c r="K208" s="5">
        <v>0</v>
      </c>
      <c r="L208" s="5">
        <v>225.18</v>
      </c>
      <c r="M208" s="5" t="s">
        <v>27</v>
      </c>
    </row>
    <row r="209" spans="1:13" hidden="1" x14ac:dyDescent="0.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 ht="15.6" x14ac:dyDescent="0.3">
      <c r="A210" s="5" t="s">
        <v>443</v>
      </c>
      <c r="B210" s="6">
        <v>41129</v>
      </c>
      <c r="C210" s="6">
        <v>41129</v>
      </c>
      <c r="D210" s="5" t="s">
        <v>444</v>
      </c>
      <c r="E210" s="5" t="s">
        <v>119</v>
      </c>
      <c r="F210" s="5" t="s">
        <v>120</v>
      </c>
      <c r="G210" s="5" t="s">
        <v>17</v>
      </c>
      <c r="H210" s="5" t="s">
        <v>127</v>
      </c>
      <c r="I210" s="5">
        <v>2044.8</v>
      </c>
      <c r="J210" s="5">
        <v>6</v>
      </c>
      <c r="K210" s="5">
        <v>0.2</v>
      </c>
      <c r="L210" s="5">
        <v>-332.28</v>
      </c>
      <c r="M210" s="5" t="s">
        <v>37</v>
      </c>
    </row>
    <row r="211" spans="1:13" ht="15.6" x14ac:dyDescent="0.3">
      <c r="A211" s="5" t="s">
        <v>288</v>
      </c>
      <c r="B211" s="6">
        <v>41747</v>
      </c>
      <c r="C211" s="6">
        <v>41748</v>
      </c>
      <c r="D211" s="5" t="s">
        <v>289</v>
      </c>
      <c r="E211" s="5" t="s">
        <v>15</v>
      </c>
      <c r="F211" s="5" t="s">
        <v>16</v>
      </c>
      <c r="G211" s="5" t="s">
        <v>17</v>
      </c>
      <c r="H211" s="5" t="s">
        <v>26</v>
      </c>
      <c r="I211" s="5">
        <v>1601.64</v>
      </c>
      <c r="J211" s="5">
        <v>5</v>
      </c>
      <c r="K211" s="5">
        <v>0.1</v>
      </c>
      <c r="L211" s="5">
        <v>587.18999999999903</v>
      </c>
      <c r="M211" s="5" t="s">
        <v>27</v>
      </c>
    </row>
    <row r="212" spans="1:13" ht="15.6" x14ac:dyDescent="0.3">
      <c r="A212" s="5" t="s">
        <v>339</v>
      </c>
      <c r="B212" s="6">
        <v>41572</v>
      </c>
      <c r="C212" s="6">
        <v>41575</v>
      </c>
      <c r="D212" s="5" t="s">
        <v>340</v>
      </c>
      <c r="E212" s="5" t="s">
        <v>66</v>
      </c>
      <c r="F212" s="5" t="s">
        <v>90</v>
      </c>
      <c r="G212" s="5" t="s">
        <v>17</v>
      </c>
      <c r="H212" s="5" t="s">
        <v>73</v>
      </c>
      <c r="I212" s="5">
        <v>1583.7</v>
      </c>
      <c r="J212" s="5">
        <v>5</v>
      </c>
      <c r="K212" s="5">
        <v>0</v>
      </c>
      <c r="L212" s="5">
        <v>174.14999999999901</v>
      </c>
      <c r="M212" s="5" t="s">
        <v>27</v>
      </c>
    </row>
    <row r="213" spans="1:13" hidden="1" x14ac:dyDescent="0.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 hidden="1" x14ac:dyDescent="0.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 hidden="1" x14ac:dyDescent="0.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 ht="15.6" x14ac:dyDescent="0.3">
      <c r="A216" s="5" t="s">
        <v>365</v>
      </c>
      <c r="B216" s="6">
        <v>42236</v>
      </c>
      <c r="C216" s="6">
        <v>42241</v>
      </c>
      <c r="D216" s="5" t="s">
        <v>366</v>
      </c>
      <c r="E216" s="5" t="s">
        <v>55</v>
      </c>
      <c r="F216" s="5" t="s">
        <v>56</v>
      </c>
      <c r="G216" s="5" t="s">
        <v>17</v>
      </c>
      <c r="H216" s="5" t="s">
        <v>73</v>
      </c>
      <c r="I216" s="5">
        <v>5211.12</v>
      </c>
      <c r="J216" s="5">
        <v>8</v>
      </c>
      <c r="K216" s="5">
        <v>0</v>
      </c>
      <c r="L216" s="5">
        <v>1146.24</v>
      </c>
      <c r="M216" s="5" t="s">
        <v>19</v>
      </c>
    </row>
    <row r="217" spans="1:13" hidden="1" x14ac:dyDescent="0.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 hidden="1" x14ac:dyDescent="0.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 ht="15.6" x14ac:dyDescent="0.3">
      <c r="A219" s="5" t="s">
        <v>448</v>
      </c>
      <c r="B219" s="6">
        <v>41444</v>
      </c>
      <c r="C219" s="6">
        <v>41444</v>
      </c>
      <c r="D219" s="5" t="s">
        <v>268</v>
      </c>
      <c r="E219" s="5" t="s">
        <v>70</v>
      </c>
      <c r="F219" s="5" t="s">
        <v>71</v>
      </c>
      <c r="G219" s="5" t="s">
        <v>45</v>
      </c>
      <c r="H219" s="5" t="s">
        <v>26</v>
      </c>
      <c r="I219" s="5">
        <v>2443.9050000000002</v>
      </c>
      <c r="J219" s="5">
        <v>5</v>
      </c>
      <c r="K219" s="5">
        <v>0.1</v>
      </c>
      <c r="L219" s="5">
        <v>760.30499999999904</v>
      </c>
      <c r="M219" s="5" t="s">
        <v>37</v>
      </c>
    </row>
    <row r="220" spans="1:13" hidden="1" x14ac:dyDescent="0.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 hidden="1" x14ac:dyDescent="0.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 ht="15.6" x14ac:dyDescent="0.3">
      <c r="A222" s="5" t="s">
        <v>260</v>
      </c>
      <c r="B222" s="7">
        <v>41707</v>
      </c>
      <c r="C222" s="6">
        <v>41887</v>
      </c>
      <c r="D222" s="5" t="s">
        <v>261</v>
      </c>
      <c r="E222" s="5" t="s">
        <v>70</v>
      </c>
      <c r="F222" s="5" t="s">
        <v>71</v>
      </c>
      <c r="G222" s="5" t="s">
        <v>45</v>
      </c>
      <c r="H222" s="5" t="s">
        <v>23</v>
      </c>
      <c r="I222" s="5">
        <v>3155.5439999999999</v>
      </c>
      <c r="J222" s="5">
        <v>7</v>
      </c>
      <c r="K222" s="5">
        <v>0.1</v>
      </c>
      <c r="L222" s="5">
        <v>34.944000000000003</v>
      </c>
      <c r="M222" s="5" t="s">
        <v>37</v>
      </c>
    </row>
    <row r="223" spans="1:13" hidden="1" x14ac:dyDescent="0.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 ht="15.6" x14ac:dyDescent="0.3">
      <c r="A224" s="5" t="s">
        <v>498</v>
      </c>
      <c r="B224" s="6">
        <v>42275</v>
      </c>
      <c r="C224" s="6">
        <v>42278</v>
      </c>
      <c r="D224" s="5" t="s">
        <v>499</v>
      </c>
      <c r="E224" s="5" t="s">
        <v>93</v>
      </c>
      <c r="F224" s="5" t="s">
        <v>94</v>
      </c>
      <c r="G224" s="5" t="s">
        <v>32</v>
      </c>
      <c r="H224" s="5" t="s">
        <v>44</v>
      </c>
      <c r="I224" s="5">
        <v>2898.21</v>
      </c>
      <c r="J224" s="5">
        <v>7</v>
      </c>
      <c r="K224" s="5">
        <v>0</v>
      </c>
      <c r="L224" s="5">
        <v>1420.02</v>
      </c>
      <c r="M224" s="5" t="s">
        <v>37</v>
      </c>
    </row>
    <row r="225" spans="1:13" hidden="1" x14ac:dyDescent="0.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 hidden="1" x14ac:dyDescent="0.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 ht="15.6" x14ac:dyDescent="0.3">
      <c r="A227" s="5" t="s">
        <v>187</v>
      </c>
      <c r="B227" s="6">
        <v>42227</v>
      </c>
      <c r="C227" s="6">
        <v>42232</v>
      </c>
      <c r="D227" s="5" t="s">
        <v>188</v>
      </c>
      <c r="E227" s="5" t="s">
        <v>22</v>
      </c>
      <c r="F227" s="5" t="s">
        <v>71</v>
      </c>
      <c r="G227" s="5" t="s">
        <v>17</v>
      </c>
      <c r="H227" s="5" t="s">
        <v>151</v>
      </c>
      <c r="I227" s="5">
        <v>4473</v>
      </c>
      <c r="J227" s="5">
        <v>7</v>
      </c>
      <c r="K227" s="5">
        <v>0</v>
      </c>
      <c r="L227" s="5">
        <v>313.11</v>
      </c>
      <c r="M227" s="5" t="s">
        <v>19</v>
      </c>
    </row>
    <row r="228" spans="1:13" hidden="1" x14ac:dyDescent="0.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 ht="15.6" x14ac:dyDescent="0.3">
      <c r="A229" s="5" t="s">
        <v>180</v>
      </c>
      <c r="B229" s="6">
        <v>42221</v>
      </c>
      <c r="C229" s="6">
        <v>42222</v>
      </c>
      <c r="D229" s="5" t="s">
        <v>181</v>
      </c>
      <c r="E229" s="5" t="s">
        <v>15</v>
      </c>
      <c r="F229" s="5" t="s">
        <v>16</v>
      </c>
      <c r="G229" s="5" t="s">
        <v>45</v>
      </c>
      <c r="H229" s="5" t="s">
        <v>33</v>
      </c>
      <c r="I229" s="5">
        <v>4191.5069999999996</v>
      </c>
      <c r="J229" s="5">
        <v>9</v>
      </c>
      <c r="K229" s="5">
        <v>0.1</v>
      </c>
      <c r="L229" s="5">
        <v>1164.26699999999</v>
      </c>
      <c r="M229" s="5" t="s">
        <v>37</v>
      </c>
    </row>
    <row r="230" spans="1:13" ht="15.6" x14ac:dyDescent="0.3">
      <c r="A230" s="5" t="s">
        <v>399</v>
      </c>
      <c r="B230" s="6">
        <v>42330</v>
      </c>
      <c r="C230" s="6">
        <v>42336</v>
      </c>
      <c r="D230" s="5" t="s">
        <v>400</v>
      </c>
      <c r="E230" s="5" t="s">
        <v>70</v>
      </c>
      <c r="F230" s="5" t="s">
        <v>71</v>
      </c>
      <c r="G230" s="5" t="s">
        <v>17</v>
      </c>
      <c r="H230" s="5" t="s">
        <v>127</v>
      </c>
      <c r="I230" s="5">
        <v>2456.6190000000001</v>
      </c>
      <c r="J230" s="5">
        <v>11</v>
      </c>
      <c r="K230" s="5">
        <v>0.15</v>
      </c>
      <c r="L230" s="5">
        <v>664.71900000000005</v>
      </c>
      <c r="M230" s="5" t="s">
        <v>74</v>
      </c>
    </row>
    <row r="231" spans="1:13" ht="15.6" x14ac:dyDescent="0.3">
      <c r="A231" s="5" t="s">
        <v>95</v>
      </c>
      <c r="B231" s="6">
        <v>42216</v>
      </c>
      <c r="C231" s="6">
        <v>42217</v>
      </c>
      <c r="D231" s="5" t="s">
        <v>96</v>
      </c>
      <c r="E231" s="5" t="s">
        <v>97</v>
      </c>
      <c r="F231" s="5" t="s">
        <v>98</v>
      </c>
      <c r="G231" s="5" t="s">
        <v>17</v>
      </c>
      <c r="H231" s="5" t="s">
        <v>23</v>
      </c>
      <c r="I231" s="5">
        <v>1713.84</v>
      </c>
      <c r="J231" s="5">
        <v>4</v>
      </c>
      <c r="K231" s="5">
        <v>0</v>
      </c>
      <c r="L231" s="5">
        <v>445.52</v>
      </c>
      <c r="M231" s="5" t="s">
        <v>27</v>
      </c>
    </row>
    <row r="232" spans="1:13" hidden="1" x14ac:dyDescent="0.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 ht="15.6" x14ac:dyDescent="0.3">
      <c r="A233" s="5" t="s">
        <v>430</v>
      </c>
      <c r="B233" s="6">
        <v>41800</v>
      </c>
      <c r="C233" s="6">
        <v>41800</v>
      </c>
      <c r="D233" s="5" t="s">
        <v>431</v>
      </c>
      <c r="E233" s="5" t="s">
        <v>66</v>
      </c>
      <c r="F233" s="5" t="s">
        <v>90</v>
      </c>
      <c r="G233" s="5" t="s">
        <v>17</v>
      </c>
      <c r="H233" s="5" t="s">
        <v>73</v>
      </c>
      <c r="I233" s="5">
        <v>957.599999999999</v>
      </c>
      <c r="J233" s="5">
        <v>4</v>
      </c>
      <c r="K233" s="5">
        <v>0</v>
      </c>
      <c r="L233" s="5">
        <v>0</v>
      </c>
      <c r="M233" s="5" t="s">
        <v>408</v>
      </c>
    </row>
    <row r="234" spans="1:13" hidden="1" x14ac:dyDescent="0.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 hidden="1" x14ac:dyDescent="0.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 hidden="1" x14ac:dyDescent="0.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 ht="15.6" x14ac:dyDescent="0.3">
      <c r="A237" s="5" t="s">
        <v>423</v>
      </c>
      <c r="B237" s="6">
        <v>42248</v>
      </c>
      <c r="C237" s="6">
        <v>42248</v>
      </c>
      <c r="D237" s="5" t="s">
        <v>424</v>
      </c>
      <c r="E237" s="5" t="s">
        <v>22</v>
      </c>
      <c r="F237" s="5" t="s">
        <v>71</v>
      </c>
      <c r="G237" s="5" t="s">
        <v>45</v>
      </c>
      <c r="H237" s="5" t="s">
        <v>73</v>
      </c>
      <c r="I237" s="5">
        <v>1007.424</v>
      </c>
      <c r="J237" s="5">
        <v>2</v>
      </c>
      <c r="K237" s="5">
        <v>0.1</v>
      </c>
      <c r="L237" s="5">
        <v>134.30399999999901</v>
      </c>
      <c r="M237" s="5" t="s">
        <v>27</v>
      </c>
    </row>
    <row r="238" spans="1:13" ht="15.6" x14ac:dyDescent="0.3">
      <c r="A238" s="5" t="s">
        <v>285</v>
      </c>
      <c r="B238" s="5" t="s">
        <v>286</v>
      </c>
      <c r="C238" s="6">
        <v>41636</v>
      </c>
      <c r="D238" s="5" t="s">
        <v>287</v>
      </c>
      <c r="E238" s="5" t="s">
        <v>197</v>
      </c>
      <c r="F238" s="5" t="s">
        <v>77</v>
      </c>
      <c r="G238" s="5" t="s">
        <v>32</v>
      </c>
      <c r="H238" s="5" t="s">
        <v>127</v>
      </c>
      <c r="I238" s="5">
        <v>1741.8</v>
      </c>
      <c r="J238" s="5" t="s">
        <v>63</v>
      </c>
      <c r="K238" s="5">
        <v>0</v>
      </c>
      <c r="L238" s="5">
        <v>261.24</v>
      </c>
      <c r="M238" s="5" t="s">
        <v>27</v>
      </c>
    </row>
    <row r="239" spans="1:13" ht="15.6" x14ac:dyDescent="0.3">
      <c r="A239" s="5" t="s">
        <v>257</v>
      </c>
      <c r="B239" s="6">
        <v>41606</v>
      </c>
      <c r="C239" s="6">
        <v>41610</v>
      </c>
      <c r="D239" s="5" t="s">
        <v>247</v>
      </c>
      <c r="E239" s="5" t="s">
        <v>15</v>
      </c>
      <c r="F239" s="5" t="s">
        <v>16</v>
      </c>
      <c r="G239" s="5" t="s">
        <v>32</v>
      </c>
      <c r="H239" s="5" t="s">
        <v>44</v>
      </c>
      <c r="I239" s="5">
        <v>2891.6999999999898</v>
      </c>
      <c r="J239" s="5">
        <v>7</v>
      </c>
      <c r="K239" s="5">
        <v>0.1</v>
      </c>
      <c r="L239" s="5">
        <v>96.39</v>
      </c>
      <c r="M239" s="5" t="s">
        <v>19</v>
      </c>
    </row>
    <row r="240" spans="1:13" hidden="1" x14ac:dyDescent="0.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 ht="15.6" x14ac:dyDescent="0.3">
      <c r="A241" s="5" t="s">
        <v>427</v>
      </c>
      <c r="B241" s="6">
        <v>41194</v>
      </c>
      <c r="C241" s="6">
        <v>41194</v>
      </c>
      <c r="D241" s="5" t="s">
        <v>428</v>
      </c>
      <c r="E241" s="5" t="s">
        <v>429</v>
      </c>
      <c r="F241" s="5" t="s">
        <v>71</v>
      </c>
      <c r="G241" s="5" t="s">
        <v>45</v>
      </c>
      <c r="H241" s="5" t="s">
        <v>299</v>
      </c>
      <c r="I241" s="5">
        <v>1066.4459999999999</v>
      </c>
      <c r="J241" s="5">
        <v>6</v>
      </c>
      <c r="K241" s="5">
        <v>0.1</v>
      </c>
      <c r="L241" s="5">
        <v>-11.933999999999999</v>
      </c>
      <c r="M241" s="5" t="s">
        <v>27</v>
      </c>
    </row>
    <row r="242" spans="1:13" hidden="1" x14ac:dyDescent="0.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 ht="15.6" x14ac:dyDescent="0.3">
      <c r="A243" s="5" t="s">
        <v>295</v>
      </c>
      <c r="B243" s="6">
        <v>40955</v>
      </c>
      <c r="C243" s="6">
        <v>40958</v>
      </c>
      <c r="D243" s="5" t="s">
        <v>296</v>
      </c>
      <c r="E243" s="5" t="s">
        <v>70</v>
      </c>
      <c r="F243" s="5" t="s">
        <v>71</v>
      </c>
      <c r="G243" s="5" t="s">
        <v>32</v>
      </c>
      <c r="H243" s="5" t="s">
        <v>33</v>
      </c>
      <c r="I243" s="5">
        <v>4544.0999999999904</v>
      </c>
      <c r="J243" s="5">
        <v>11</v>
      </c>
      <c r="K243" s="5">
        <v>0.1</v>
      </c>
      <c r="L243" s="5">
        <v>1868.1299999999901</v>
      </c>
      <c r="M243" s="5" t="s">
        <v>19</v>
      </c>
    </row>
    <row r="244" spans="1:13" ht="15.6" x14ac:dyDescent="0.3">
      <c r="A244" s="5" t="s">
        <v>258</v>
      </c>
      <c r="B244" s="6">
        <v>41546</v>
      </c>
      <c r="C244" s="6">
        <v>41546</v>
      </c>
      <c r="D244" s="5" t="s">
        <v>259</v>
      </c>
      <c r="E244" s="5" t="s">
        <v>70</v>
      </c>
      <c r="F244" s="5" t="s">
        <v>71</v>
      </c>
      <c r="G244" s="5" t="s">
        <v>17</v>
      </c>
      <c r="H244" s="5" t="s">
        <v>151</v>
      </c>
      <c r="I244" s="5">
        <v>2016.846</v>
      </c>
      <c r="J244" s="5">
        <v>9</v>
      </c>
      <c r="K244" s="5">
        <v>0.15</v>
      </c>
      <c r="L244" s="5">
        <v>-5.4000000000030399E-2</v>
      </c>
      <c r="M244" s="5" t="s">
        <v>27</v>
      </c>
    </row>
    <row r="245" spans="1:13" ht="15.6" x14ac:dyDescent="0.3">
      <c r="A245" s="5" t="s">
        <v>323</v>
      </c>
      <c r="B245" s="6">
        <v>41284</v>
      </c>
      <c r="C245" s="6">
        <v>41288</v>
      </c>
      <c r="D245" s="5" t="s">
        <v>259</v>
      </c>
      <c r="E245" s="5" t="s">
        <v>141</v>
      </c>
      <c r="F245" s="5" t="s">
        <v>142</v>
      </c>
      <c r="G245" s="5" t="s">
        <v>32</v>
      </c>
      <c r="H245" s="5" t="s">
        <v>26</v>
      </c>
      <c r="I245" s="5">
        <v>3637.6019999999899</v>
      </c>
      <c r="J245" s="5">
        <v>10</v>
      </c>
      <c r="K245" s="5">
        <v>7.0000000000000007E-2</v>
      </c>
      <c r="L245" s="5">
        <v>156.40199999999899</v>
      </c>
      <c r="M245" s="5" t="s">
        <v>37</v>
      </c>
    </row>
    <row r="246" spans="1:13" ht="15.6" x14ac:dyDescent="0.3">
      <c r="A246" s="5" t="s">
        <v>327</v>
      </c>
      <c r="B246" s="6">
        <v>41614</v>
      </c>
      <c r="C246" s="6">
        <v>41616</v>
      </c>
      <c r="D246" s="5" t="s">
        <v>328</v>
      </c>
      <c r="E246" s="5" t="s">
        <v>60</v>
      </c>
      <c r="F246" s="5" t="s">
        <v>61</v>
      </c>
      <c r="G246" s="5" t="s">
        <v>17</v>
      </c>
      <c r="H246" s="5" t="s">
        <v>23</v>
      </c>
      <c r="I246" s="5">
        <v>2297.96</v>
      </c>
      <c r="J246" s="5">
        <v>14</v>
      </c>
      <c r="K246" s="5">
        <v>0</v>
      </c>
      <c r="L246" s="5">
        <v>988.11999999999898</v>
      </c>
      <c r="M246" s="5" t="s">
        <v>37</v>
      </c>
    </row>
    <row r="247" spans="1:13" ht="15.6" x14ac:dyDescent="0.3">
      <c r="A247" s="5" t="s">
        <v>64</v>
      </c>
      <c r="B247" s="6">
        <v>41796</v>
      </c>
      <c r="C247" s="6">
        <v>41798</v>
      </c>
      <c r="D247" s="5" t="s">
        <v>65</v>
      </c>
      <c r="E247" s="5" t="s">
        <v>66</v>
      </c>
      <c r="F247" s="5" t="s">
        <v>84</v>
      </c>
      <c r="G247" s="5" t="s">
        <v>45</v>
      </c>
      <c r="H247" s="5" t="s">
        <v>26</v>
      </c>
      <c r="I247" s="5">
        <v>3701.51999999999</v>
      </c>
      <c r="J247" s="5">
        <v>12</v>
      </c>
      <c r="K247" s="5">
        <v>0</v>
      </c>
      <c r="L247" s="5">
        <v>1036.08</v>
      </c>
      <c r="M247" s="5" t="s">
        <v>27</v>
      </c>
    </row>
    <row r="248" spans="1:13" ht="15.6" x14ac:dyDescent="0.3">
      <c r="A248" s="5" t="s">
        <v>306</v>
      </c>
      <c r="B248" s="6">
        <v>42081</v>
      </c>
      <c r="C248" s="5" t="s">
        <v>307</v>
      </c>
      <c r="D248" s="5" t="s">
        <v>240</v>
      </c>
      <c r="E248" s="5" t="s">
        <v>70</v>
      </c>
      <c r="F248" s="5" t="s">
        <v>71</v>
      </c>
      <c r="G248" s="5" t="s">
        <v>17</v>
      </c>
      <c r="H248" s="5" t="s">
        <v>46</v>
      </c>
      <c r="I248" s="5">
        <v>1505.97899999999</v>
      </c>
      <c r="J248" s="5">
        <v>6</v>
      </c>
      <c r="K248" s="5">
        <v>0.15</v>
      </c>
      <c r="L248" s="5">
        <v>-265.760999999999</v>
      </c>
      <c r="M248" s="5" t="s">
        <v>27</v>
      </c>
    </row>
    <row r="249" spans="1:13" hidden="1" x14ac:dyDescent="0.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 hidden="1" x14ac:dyDescent="0.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 ht="15.6" x14ac:dyDescent="0.3">
      <c r="A251" s="5" t="s">
        <v>479</v>
      </c>
      <c r="B251" s="6">
        <v>41080</v>
      </c>
      <c r="C251" s="6">
        <v>41083</v>
      </c>
      <c r="D251" s="5" t="s">
        <v>480</v>
      </c>
      <c r="E251" s="5" t="s">
        <v>70</v>
      </c>
      <c r="F251" s="5" t="s">
        <v>71</v>
      </c>
      <c r="G251" s="5" t="s">
        <v>32</v>
      </c>
      <c r="H251" s="5" t="s">
        <v>23</v>
      </c>
      <c r="I251" s="5">
        <v>1696.24799999999</v>
      </c>
      <c r="J251" s="5">
        <v>4</v>
      </c>
      <c r="K251" s="5">
        <v>0.1</v>
      </c>
      <c r="L251" s="5" t="s">
        <v>481</v>
      </c>
      <c r="M251" s="5" t="s">
        <v>37</v>
      </c>
    </row>
    <row r="252" spans="1:13" hidden="1" x14ac:dyDescent="0.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 hidden="1" x14ac:dyDescent="0.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 hidden="1" x14ac:dyDescent="0.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 ht="15.6" x14ac:dyDescent="0.3">
      <c r="A255" s="5" t="s">
        <v>265</v>
      </c>
      <c r="B255" s="6">
        <v>42327</v>
      </c>
      <c r="C255" s="6">
        <v>42333</v>
      </c>
      <c r="D255" s="5" t="s">
        <v>266</v>
      </c>
      <c r="E255" s="5" t="s">
        <v>15</v>
      </c>
      <c r="F255" s="5" t="s">
        <v>16</v>
      </c>
      <c r="G255" s="5" t="s">
        <v>17</v>
      </c>
      <c r="H255" s="5" t="s">
        <v>73</v>
      </c>
      <c r="I255" s="5">
        <v>3524.4720000000002</v>
      </c>
      <c r="J255" s="5">
        <v>6</v>
      </c>
      <c r="K255" s="5">
        <v>0.1</v>
      </c>
      <c r="L255" s="5" t="s">
        <v>267</v>
      </c>
      <c r="M255" s="5" t="s">
        <v>74</v>
      </c>
    </row>
    <row r="256" spans="1:13" hidden="1" x14ac:dyDescent="0.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 ht="15.6" x14ac:dyDescent="0.3">
      <c r="A257" s="5" t="s">
        <v>81</v>
      </c>
      <c r="B257" s="6">
        <v>42343</v>
      </c>
      <c r="C257" s="6">
        <v>42345</v>
      </c>
      <c r="D257" s="5" t="s">
        <v>82</v>
      </c>
      <c r="E257" s="5" t="s">
        <v>83</v>
      </c>
      <c r="F257" s="5" t="s">
        <v>84</v>
      </c>
      <c r="G257" s="5" t="s">
        <v>45</v>
      </c>
      <c r="H257" s="5" t="s">
        <v>73</v>
      </c>
      <c r="I257" s="5">
        <v>3409.74</v>
      </c>
      <c r="J257" s="5">
        <v>6</v>
      </c>
      <c r="K257" s="5">
        <v>0</v>
      </c>
      <c r="L257" s="5">
        <v>818.28</v>
      </c>
      <c r="M257" s="5" t="s">
        <v>37</v>
      </c>
    </row>
    <row r="258" spans="1:13" hidden="1" x14ac:dyDescent="0.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 ht="15.6" x14ac:dyDescent="0.3">
      <c r="A259" s="5" t="s">
        <v>377</v>
      </c>
      <c r="B259" s="6">
        <v>41641</v>
      </c>
      <c r="C259" s="6">
        <v>41642</v>
      </c>
      <c r="D259" s="5" t="s">
        <v>378</v>
      </c>
      <c r="E259" s="5" t="s">
        <v>15</v>
      </c>
      <c r="F259" s="5" t="s">
        <v>16</v>
      </c>
      <c r="G259" s="5" t="s">
        <v>32</v>
      </c>
      <c r="H259" s="5" t="s">
        <v>26</v>
      </c>
      <c r="I259" s="5">
        <v>1637.01</v>
      </c>
      <c r="J259" s="5">
        <v>5</v>
      </c>
      <c r="K259" s="5">
        <v>0.1</v>
      </c>
      <c r="L259" s="5">
        <v>-36.39</v>
      </c>
      <c r="M259" s="5" t="s">
        <v>19</v>
      </c>
    </row>
    <row r="260" spans="1:13" hidden="1" x14ac:dyDescent="0.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 ht="15.6" x14ac:dyDescent="0.3">
      <c r="A261" s="5" t="s">
        <v>351</v>
      </c>
      <c r="B261" s="6">
        <v>41709</v>
      </c>
      <c r="C261" s="6">
        <v>41713</v>
      </c>
      <c r="D261" s="5" t="s">
        <v>352</v>
      </c>
      <c r="E261" s="5" t="s">
        <v>15</v>
      </c>
      <c r="F261" s="5" t="s">
        <v>16</v>
      </c>
      <c r="G261" s="5" t="s">
        <v>17</v>
      </c>
      <c r="H261" s="5" t="s">
        <v>33</v>
      </c>
      <c r="I261" s="5">
        <v>2892.10499999999</v>
      </c>
      <c r="J261" s="5">
        <v>5</v>
      </c>
      <c r="K261" s="5">
        <v>0.1</v>
      </c>
      <c r="L261" s="5">
        <v>160.60499999999999</v>
      </c>
      <c r="M261" s="5" t="s">
        <v>37</v>
      </c>
    </row>
    <row r="262" spans="1:13" ht="15.6" x14ac:dyDescent="0.3">
      <c r="A262" s="5" t="s">
        <v>599</v>
      </c>
      <c r="B262" s="6">
        <v>42140</v>
      </c>
      <c r="C262" s="6">
        <v>42142</v>
      </c>
      <c r="D262" s="5" t="s">
        <v>600</v>
      </c>
      <c r="E262" s="5" t="s">
        <v>601</v>
      </c>
      <c r="F262" s="5" t="s">
        <v>16</v>
      </c>
      <c r="G262" s="5" t="s">
        <v>165</v>
      </c>
      <c r="H262" s="5" t="s">
        <v>26</v>
      </c>
      <c r="I262" s="5">
        <v>1900.5839999999901</v>
      </c>
      <c r="J262" s="5">
        <v>6</v>
      </c>
      <c r="K262" s="5">
        <v>0.4</v>
      </c>
      <c r="L262" s="5">
        <v>-348.51600000000002</v>
      </c>
      <c r="M262" s="5" t="s">
        <v>37</v>
      </c>
    </row>
    <row r="263" spans="1:13" hidden="1" x14ac:dyDescent="0.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 hidden="1" x14ac:dyDescent="0.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 ht="15.6" x14ac:dyDescent="0.3">
      <c r="A265" s="5" t="s">
        <v>331</v>
      </c>
      <c r="B265" s="6">
        <v>42265</v>
      </c>
      <c r="C265" s="6">
        <v>42267</v>
      </c>
      <c r="D265" s="5" t="s">
        <v>332</v>
      </c>
      <c r="E265" s="5" t="s">
        <v>333</v>
      </c>
      <c r="F265" s="5" t="s">
        <v>84</v>
      </c>
      <c r="G265" s="5" t="s">
        <v>17</v>
      </c>
      <c r="H265" s="5" t="s">
        <v>18</v>
      </c>
      <c r="I265" s="5">
        <v>3834</v>
      </c>
      <c r="J265" s="5">
        <v>6</v>
      </c>
      <c r="K265" s="5">
        <v>0</v>
      </c>
      <c r="L265" s="5">
        <v>268.38</v>
      </c>
      <c r="M265" s="5" t="s">
        <v>37</v>
      </c>
    </row>
    <row r="266" spans="1:13" ht="15.6" x14ac:dyDescent="0.3">
      <c r="A266" s="5" t="s">
        <v>224</v>
      </c>
      <c r="B266" s="6">
        <v>41221</v>
      </c>
      <c r="C266" s="6">
        <v>41223</v>
      </c>
      <c r="D266" s="5" t="s">
        <v>225</v>
      </c>
      <c r="E266" s="5" t="s">
        <v>66</v>
      </c>
      <c r="F266" s="5" t="s">
        <v>90</v>
      </c>
      <c r="G266" s="5" t="s">
        <v>17</v>
      </c>
      <c r="H266" s="5" t="s">
        <v>46</v>
      </c>
      <c r="I266" s="5">
        <v>3200.04</v>
      </c>
      <c r="J266" s="5">
        <v>9</v>
      </c>
      <c r="K266" s="5" t="s">
        <v>226</v>
      </c>
      <c r="L266" s="5">
        <v>1183.95</v>
      </c>
      <c r="M266" s="5" t="s">
        <v>227</v>
      </c>
    </row>
    <row r="267" spans="1:13" ht="15.6" x14ac:dyDescent="0.3">
      <c r="A267" s="5" t="s">
        <v>456</v>
      </c>
      <c r="B267" s="6">
        <v>41909</v>
      </c>
      <c r="C267" s="6">
        <v>41909</v>
      </c>
      <c r="D267" s="5" t="s">
        <v>457</v>
      </c>
      <c r="E267" s="5" t="s">
        <v>197</v>
      </c>
      <c r="F267" s="5" t="s">
        <v>77</v>
      </c>
      <c r="G267" s="5" t="s">
        <v>32</v>
      </c>
      <c r="H267" s="5" t="s">
        <v>299</v>
      </c>
      <c r="I267" s="5">
        <v>1091.25</v>
      </c>
      <c r="J267" s="5">
        <v>3</v>
      </c>
      <c r="K267" s="5">
        <v>0</v>
      </c>
      <c r="L267" s="5">
        <v>119.97</v>
      </c>
      <c r="M267" s="5" t="s">
        <v>27</v>
      </c>
    </row>
    <row r="268" spans="1:13" ht="15.6" x14ac:dyDescent="0.3">
      <c r="A268" s="5" t="s">
        <v>362</v>
      </c>
      <c r="B268" s="6">
        <v>41914</v>
      </c>
      <c r="C268" s="6">
        <v>41916</v>
      </c>
      <c r="D268" s="5" t="s">
        <v>363</v>
      </c>
      <c r="E268" s="5" t="s">
        <v>66</v>
      </c>
      <c r="F268" s="5" t="s">
        <v>90</v>
      </c>
      <c r="G268" s="5" t="s">
        <v>45</v>
      </c>
      <c r="H268" s="5" t="s">
        <v>127</v>
      </c>
      <c r="I268" s="5">
        <v>3000.7799999999902</v>
      </c>
      <c r="J268" s="5">
        <v>6</v>
      </c>
      <c r="K268" s="5">
        <v>0</v>
      </c>
      <c r="L268" s="5">
        <v>1080.18</v>
      </c>
      <c r="M268" s="5" t="s">
        <v>37</v>
      </c>
    </row>
    <row r="269" spans="1:13" hidden="1" x14ac:dyDescent="0.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 ht="15.6" x14ac:dyDescent="0.3">
      <c r="A270" s="5" t="s">
        <v>209</v>
      </c>
      <c r="B270" s="6">
        <v>41234</v>
      </c>
      <c r="C270" s="6">
        <v>41235</v>
      </c>
      <c r="D270" s="5" t="s">
        <v>210</v>
      </c>
      <c r="E270" s="5" t="s">
        <v>211</v>
      </c>
      <c r="F270" s="5" t="s">
        <v>98</v>
      </c>
      <c r="G270" s="5" t="s">
        <v>45</v>
      </c>
      <c r="H270" s="5" t="s">
        <v>44</v>
      </c>
      <c r="I270" s="5">
        <v>2443.48</v>
      </c>
      <c r="J270" s="5">
        <v>13</v>
      </c>
      <c r="K270" s="5">
        <v>0</v>
      </c>
      <c r="L270" s="5" t="s">
        <v>212</v>
      </c>
      <c r="M270" s="5" t="s">
        <v>19</v>
      </c>
    </row>
    <row r="271" spans="1:13" ht="15.6" x14ac:dyDescent="0.3">
      <c r="A271" s="5" t="s">
        <v>573</v>
      </c>
      <c r="B271" s="6">
        <v>41614</v>
      </c>
      <c r="C271" s="6">
        <v>41614</v>
      </c>
      <c r="D271" s="5" t="s">
        <v>574</v>
      </c>
      <c r="E271" s="5" t="s">
        <v>575</v>
      </c>
      <c r="F271" s="5" t="s">
        <v>87</v>
      </c>
      <c r="G271" s="5" t="s">
        <v>17</v>
      </c>
      <c r="H271" s="5" t="s">
        <v>23</v>
      </c>
      <c r="I271" s="5">
        <v>1554.48</v>
      </c>
      <c r="J271" s="5">
        <v>8</v>
      </c>
      <c r="K271" s="5">
        <v>0</v>
      </c>
      <c r="L271" s="5">
        <v>341.76</v>
      </c>
      <c r="M271" s="5" t="s">
        <v>37</v>
      </c>
    </row>
    <row r="272" spans="1:13" hidden="1" x14ac:dyDescent="0.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 ht="15.6" x14ac:dyDescent="0.3">
      <c r="A273" s="5" t="s">
        <v>248</v>
      </c>
      <c r="B273" s="6">
        <v>41667</v>
      </c>
      <c r="C273" s="6">
        <v>41669</v>
      </c>
      <c r="D273" s="5" t="s">
        <v>249</v>
      </c>
      <c r="E273" s="5" t="s">
        <v>250</v>
      </c>
      <c r="F273" s="5" t="s">
        <v>142</v>
      </c>
      <c r="G273" s="5" t="s">
        <v>32</v>
      </c>
      <c r="H273" s="5" t="s">
        <v>73</v>
      </c>
      <c r="I273" s="5" t="s">
        <v>163</v>
      </c>
      <c r="J273" s="5">
        <v>7</v>
      </c>
      <c r="K273" s="5">
        <v>0.25</v>
      </c>
      <c r="L273" s="5" t="s">
        <v>251</v>
      </c>
      <c r="M273" s="5" t="s">
        <v>37</v>
      </c>
    </row>
    <row r="274" spans="1:13" hidden="1" x14ac:dyDescent="0.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 hidden="1" x14ac:dyDescent="0.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 hidden="1" x14ac:dyDescent="0.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 hidden="1" x14ac:dyDescent="0.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 ht="15.6" x14ac:dyDescent="0.3">
      <c r="A278" s="5" t="s">
        <v>545</v>
      </c>
      <c r="B278" s="6">
        <v>41070</v>
      </c>
      <c r="C278" s="6">
        <v>41073</v>
      </c>
      <c r="D278" s="5" t="s">
        <v>546</v>
      </c>
      <c r="E278" s="5" t="s">
        <v>256</v>
      </c>
      <c r="F278" s="5" t="s">
        <v>71</v>
      </c>
      <c r="G278" s="5" t="s">
        <v>32</v>
      </c>
      <c r="H278" s="5" t="s">
        <v>73</v>
      </c>
      <c r="I278" s="5">
        <v>2056.0499999999902</v>
      </c>
      <c r="J278" s="5">
        <v>5</v>
      </c>
      <c r="K278" s="5">
        <v>0</v>
      </c>
      <c r="L278" s="5">
        <v>390.6</v>
      </c>
      <c r="M278" s="5" t="s">
        <v>37</v>
      </c>
    </row>
    <row r="279" spans="1:13" hidden="1" x14ac:dyDescent="0.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 hidden="1" x14ac:dyDescent="0.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 hidden="1" x14ac:dyDescent="0.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 ht="15.6" x14ac:dyDescent="0.3">
      <c r="A282" s="5" t="s">
        <v>476</v>
      </c>
      <c r="B282" s="6">
        <v>41172</v>
      </c>
      <c r="C282" s="6">
        <v>41174</v>
      </c>
      <c r="D282" s="5" t="s">
        <v>477</v>
      </c>
      <c r="E282" s="5" t="s">
        <v>70</v>
      </c>
      <c r="F282" s="5" t="s">
        <v>71</v>
      </c>
      <c r="G282" s="5" t="s">
        <v>478</v>
      </c>
      <c r="H282" s="5" t="s">
        <v>73</v>
      </c>
      <c r="I282" s="5">
        <v>1181.547</v>
      </c>
      <c r="J282" s="5">
        <v>3</v>
      </c>
      <c r="K282" s="5">
        <v>0.1</v>
      </c>
      <c r="L282" s="5">
        <v>498.80700000000002</v>
      </c>
      <c r="M282" s="5" t="s">
        <v>27</v>
      </c>
    </row>
    <row r="283" spans="1:13" ht="15.6" x14ac:dyDescent="0.3">
      <c r="A283" s="5" t="s">
        <v>568</v>
      </c>
      <c r="B283" s="6">
        <v>42329</v>
      </c>
      <c r="C283" s="6">
        <v>42329</v>
      </c>
      <c r="D283" s="5" t="s">
        <v>569</v>
      </c>
      <c r="E283" s="5" t="s">
        <v>570</v>
      </c>
      <c r="F283" s="5" t="s">
        <v>120</v>
      </c>
      <c r="G283" s="5" t="s">
        <v>17</v>
      </c>
      <c r="H283" s="5" t="s">
        <v>23</v>
      </c>
      <c r="I283" s="5">
        <v>1053.6884</v>
      </c>
      <c r="J283" s="5">
        <v>5</v>
      </c>
      <c r="K283" s="5">
        <v>2E-3</v>
      </c>
      <c r="L283" s="5">
        <v>441.28840000000002</v>
      </c>
      <c r="M283" s="5" t="s">
        <v>37</v>
      </c>
    </row>
    <row r="284" spans="1:13" ht="15.6" x14ac:dyDescent="0.3">
      <c r="A284" s="5" t="s">
        <v>166</v>
      </c>
      <c r="B284" s="6">
        <v>42265</v>
      </c>
      <c r="C284" s="6">
        <v>42268</v>
      </c>
      <c r="D284" s="5" t="s">
        <v>167</v>
      </c>
      <c r="E284" s="5" t="s">
        <v>168</v>
      </c>
      <c r="F284" s="5" t="s">
        <v>169</v>
      </c>
      <c r="G284" s="5" t="s">
        <v>17</v>
      </c>
      <c r="H284" s="5" t="s">
        <v>23</v>
      </c>
      <c r="I284" s="5">
        <v>2108.64</v>
      </c>
      <c r="J284" s="5">
        <v>8</v>
      </c>
      <c r="K284" s="5">
        <v>0</v>
      </c>
      <c r="L284" s="5">
        <v>527.04</v>
      </c>
      <c r="M284" s="5" t="s">
        <v>27</v>
      </c>
    </row>
    <row r="285" spans="1:13" hidden="1" x14ac:dyDescent="0.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 ht="15.6" x14ac:dyDescent="0.3">
      <c r="A286" s="5" t="s">
        <v>99</v>
      </c>
      <c r="B286" s="6">
        <v>42252</v>
      </c>
      <c r="C286" s="6">
        <v>42255</v>
      </c>
      <c r="D286" s="5" t="s">
        <v>100</v>
      </c>
      <c r="E286" s="5" t="s">
        <v>101</v>
      </c>
      <c r="F286" s="5" t="s">
        <v>98</v>
      </c>
      <c r="G286" s="5" t="s">
        <v>32</v>
      </c>
      <c r="H286" s="5" t="s">
        <v>73</v>
      </c>
      <c r="I286" s="5">
        <v>2106.4960000000001</v>
      </c>
      <c r="J286" s="5">
        <v>8</v>
      </c>
      <c r="K286" s="5">
        <v>0.2</v>
      </c>
      <c r="L286" s="5">
        <v>526.49599999999998</v>
      </c>
      <c r="M286" s="5" t="s">
        <v>27</v>
      </c>
    </row>
    <row r="287" spans="1:13" hidden="1" x14ac:dyDescent="0.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 hidden="1" x14ac:dyDescent="0.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 hidden="1" x14ac:dyDescent="0.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 hidden="1" x14ac:dyDescent="0.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 ht="15.6" x14ac:dyDescent="0.3">
      <c r="A291" s="5" t="s">
        <v>279</v>
      </c>
      <c r="B291" s="6">
        <v>41711</v>
      </c>
      <c r="C291" s="6">
        <v>41711</v>
      </c>
      <c r="D291" s="5" t="s">
        <v>280</v>
      </c>
      <c r="E291" s="5" t="s">
        <v>281</v>
      </c>
      <c r="F291" s="5" t="s">
        <v>71</v>
      </c>
      <c r="G291" s="5" t="s">
        <v>32</v>
      </c>
      <c r="H291" s="5" t="s">
        <v>151</v>
      </c>
      <c r="I291" s="5">
        <v>2570.8649999999998</v>
      </c>
      <c r="J291" s="5">
        <v>11</v>
      </c>
      <c r="K291" s="5">
        <v>0.5</v>
      </c>
      <c r="L291" s="5">
        <v>-2211.165</v>
      </c>
      <c r="M291" s="5" t="s">
        <v>37</v>
      </c>
    </row>
    <row r="292" spans="1:13" ht="15.6" x14ac:dyDescent="0.3">
      <c r="A292" s="5" t="s">
        <v>58</v>
      </c>
      <c r="B292" s="6">
        <v>41591</v>
      </c>
      <c r="C292" s="6">
        <v>41591</v>
      </c>
      <c r="D292" s="5" t="s">
        <v>59</v>
      </c>
      <c r="E292" s="5" t="s">
        <v>60</v>
      </c>
      <c r="F292" s="5" t="s">
        <v>61</v>
      </c>
      <c r="G292" s="5" t="s">
        <v>32</v>
      </c>
      <c r="H292" s="5" t="s">
        <v>44</v>
      </c>
      <c r="I292" s="5" t="s">
        <v>62</v>
      </c>
      <c r="J292" s="5" t="s">
        <v>63</v>
      </c>
      <c r="K292" s="5">
        <v>0</v>
      </c>
      <c r="L292" s="5">
        <v>622.02</v>
      </c>
      <c r="M292" s="5" t="s">
        <v>27</v>
      </c>
    </row>
    <row r="293" spans="1:13" ht="15.6" x14ac:dyDescent="0.3">
      <c r="A293" s="5" t="s">
        <v>145</v>
      </c>
      <c r="B293" s="6">
        <v>42273</v>
      </c>
      <c r="C293" s="6">
        <v>42275</v>
      </c>
      <c r="D293" s="5" t="s">
        <v>146</v>
      </c>
      <c r="E293" s="5" t="s">
        <v>114</v>
      </c>
      <c r="F293" s="5" t="s">
        <v>115</v>
      </c>
      <c r="G293" s="5" t="s">
        <v>32</v>
      </c>
      <c r="H293" s="5" t="s">
        <v>26</v>
      </c>
      <c r="I293" s="5">
        <v>5667.87</v>
      </c>
      <c r="J293" s="5">
        <v>13</v>
      </c>
      <c r="K293" s="5">
        <v>0</v>
      </c>
      <c r="L293" s="5">
        <v>2097.0300000000002</v>
      </c>
      <c r="M293" s="5" t="s">
        <v>19</v>
      </c>
    </row>
    <row r="294" spans="1:13" hidden="1" x14ac:dyDescent="0.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 hidden="1" x14ac:dyDescent="0.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 hidden="1" x14ac:dyDescent="0.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 ht="15.6" x14ac:dyDescent="0.3">
      <c r="A297" s="5" t="s">
        <v>297</v>
      </c>
      <c r="B297" s="6">
        <v>41790</v>
      </c>
      <c r="C297" s="6">
        <v>41792</v>
      </c>
      <c r="D297" s="5" t="s">
        <v>298</v>
      </c>
      <c r="E297" s="5" t="s">
        <v>66</v>
      </c>
      <c r="F297" s="5" t="s">
        <v>90</v>
      </c>
      <c r="G297" s="5" t="s">
        <v>32</v>
      </c>
      <c r="H297" s="5" t="s">
        <v>299</v>
      </c>
      <c r="I297" s="5">
        <v>1455.12</v>
      </c>
      <c r="J297" s="5">
        <v>4</v>
      </c>
      <c r="K297" s="5">
        <v>0</v>
      </c>
      <c r="L297" s="5">
        <v>116.399999999999</v>
      </c>
      <c r="M297" s="5" t="s">
        <v>27</v>
      </c>
    </row>
    <row r="298" spans="1:13" ht="15.6" x14ac:dyDescent="0.3">
      <c r="A298" s="5" t="s">
        <v>149</v>
      </c>
      <c r="B298" s="6">
        <v>41174</v>
      </c>
      <c r="C298" s="6">
        <v>41176</v>
      </c>
      <c r="D298" s="5" t="s">
        <v>150</v>
      </c>
      <c r="E298" s="5" t="s">
        <v>22</v>
      </c>
      <c r="F298" s="5" t="s">
        <v>71</v>
      </c>
      <c r="G298" s="5" t="s">
        <v>45</v>
      </c>
      <c r="H298" s="5" t="s">
        <v>151</v>
      </c>
      <c r="I298" s="5">
        <v>3018.6239999999998</v>
      </c>
      <c r="J298" s="5">
        <v>7</v>
      </c>
      <c r="K298" s="5">
        <v>0.2</v>
      </c>
      <c r="L298" s="5">
        <v>377.24399999999901</v>
      </c>
      <c r="M298" s="5" t="s">
        <v>27</v>
      </c>
    </row>
    <row r="299" spans="1:13" hidden="1" x14ac:dyDescent="0.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 hidden="1" x14ac:dyDescent="0.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</sheetData>
  <autoFilter ref="A1:M300" xr:uid="{D20E7FDB-FB69-4821-9C64-0F1FF046EA8C}">
    <filterColumn colId="0">
      <customFilters>
        <customFilter operator="notEqual" val=" "/>
      </customFilters>
    </filterColumn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9">
      <customFilters>
        <customFilter operator="notEqual" val=" "/>
      </customFilters>
    </filterColumn>
    <filterColumn colId="10">
      <customFilters>
        <customFilter operator="notEqual" val=" "/>
      </customFilters>
    </filterColumn>
    <filterColumn colId="11">
      <customFilters>
        <customFilter operator="notEqual" val=" "/>
      </customFilters>
    </filterColumn>
    <filterColumn colId="12">
      <customFilters>
        <customFilter operator="notEqual" val=" "/>
      </customFilters>
    </filterColumn>
    <sortState xmlns:xlrd2="http://schemas.microsoft.com/office/spreadsheetml/2017/richdata2" ref="A2:M298">
      <sortCondition ref="D1:D3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Observations</vt:lpstr>
      <vt:lpstr>Data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subitsha jeganathan</dc:creator>
  <cp:lastModifiedBy>subitsha jeganathan</cp:lastModifiedBy>
  <dcterms:created xsi:type="dcterms:W3CDTF">2025-11-11T04:07:05Z</dcterms:created>
  <dcterms:modified xsi:type="dcterms:W3CDTF">2025-11-13T03:18:29Z</dcterms:modified>
</cp:coreProperties>
</file>